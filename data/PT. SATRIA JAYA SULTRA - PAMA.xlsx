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yan\OneDrive\ドキュメント\SJSPAMA\Data Musdalifah\"/>
    </mc:Choice>
  </mc:AlternateContent>
  <xr:revisionPtr revIDLastSave="0" documentId="8_{BA70D250-9420-4A01-82EE-7EE08ED97B20}" xr6:coauthVersionLast="47" xr6:coauthVersionMax="47" xr10:uidLastSave="{00000000-0000-0000-0000-000000000000}"/>
  <bookViews>
    <workbookView xWindow="-120" yWindow="-120" windowWidth="29040" windowHeight="15720" xr2:uid="{34266D3A-6DE5-4936-A871-64B7C62970B0}"/>
  </bookViews>
  <sheets>
    <sheet name="DATA MANPOWER" sheetId="1" r:id="rId1"/>
  </sheets>
  <definedNames>
    <definedName name="_xlnm._FilterDatabase" localSheetId="0" hidden="1">'DATA MANPOWER'!$A$2:$AG$93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9" i="1" l="1"/>
  <c r="Y68" i="1"/>
  <c r="Y67" i="1"/>
  <c r="Y65" i="1"/>
  <c r="Y64" i="1"/>
  <c r="Y63" i="1"/>
  <c r="Y62" i="1"/>
  <c r="Y61" i="1"/>
  <c r="Y60" i="1"/>
  <c r="Y58" i="1"/>
  <c r="Y57" i="1"/>
  <c r="Y56" i="1"/>
  <c r="Y54" i="1"/>
  <c r="Y53" i="1"/>
  <c r="Y52" i="1"/>
  <c r="Y51" i="1"/>
  <c r="Y50" i="1"/>
  <c r="Y49" i="1"/>
  <c r="Y48" i="1"/>
  <c r="Y47" i="1"/>
  <c r="Y46" i="1"/>
  <c r="Y45" i="1"/>
  <c r="Y43" i="1"/>
  <c r="Y41" i="1"/>
  <c r="Y40" i="1"/>
  <c r="Y39" i="1"/>
  <c r="Y36" i="1"/>
  <c r="Y37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80" i="1"/>
  <c r="W79" i="1"/>
  <c r="W78" i="1"/>
  <c r="W77" i="1"/>
  <c r="W76" i="1"/>
  <c r="W75" i="1"/>
  <c r="W74" i="1"/>
  <c r="W73" i="1"/>
  <c r="W72" i="1"/>
  <c r="W71" i="1" l="1"/>
  <c r="W70" i="1"/>
  <c r="W6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19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36" i="1"/>
  <c r="W35" i="1"/>
  <c r="W34" i="1"/>
  <c r="W33" i="1"/>
  <c r="W26" i="1"/>
  <c r="W30" i="1"/>
  <c r="W20" i="1"/>
  <c r="W28" i="1"/>
  <c r="W23" i="1"/>
  <c r="W24" i="1"/>
  <c r="W27" i="1"/>
  <c r="W29" i="1"/>
  <c r="W19" i="1"/>
  <c r="W32" i="1"/>
  <c r="W31" i="1"/>
  <c r="W22" i="1"/>
  <c r="W21" i="1"/>
  <c r="W25" i="1"/>
  <c r="Y14" i="1"/>
  <c r="Y15" i="1"/>
  <c r="Y16" i="1"/>
  <c r="Y17" i="1"/>
  <c r="Y18" i="1"/>
  <c r="W14" i="1"/>
  <c r="W15" i="1"/>
  <c r="W16" i="1"/>
  <c r="W17" i="1"/>
  <c r="W18" i="1"/>
  <c r="Y13" i="1"/>
  <c r="A4" i="1"/>
  <c r="A5" i="1" s="1"/>
  <c r="A6" i="1" s="1"/>
  <c r="A7" i="1" s="1"/>
  <c r="A8" i="1" s="1"/>
  <c r="A9" i="1" s="1"/>
  <c r="A10" i="1" s="1"/>
  <c r="A11" i="1" s="1"/>
  <c r="A12" i="1" s="1"/>
  <c r="A13" i="1" s="1"/>
  <c r="W5" i="1"/>
  <c r="Y5" i="1"/>
  <c r="Y8" i="1"/>
  <c r="Y12" i="1"/>
  <c r="Y11" i="1"/>
  <c r="Y10" i="1"/>
  <c r="Y9" i="1"/>
  <c r="Y7" i="1"/>
  <c r="Y6" i="1"/>
  <c r="Y4" i="1"/>
  <c r="Y3" i="1"/>
  <c r="W13" i="1"/>
  <c r="W12" i="1"/>
  <c r="W11" i="1"/>
  <c r="W10" i="1"/>
  <c r="W9" i="1"/>
  <c r="W8" i="1"/>
  <c r="W7" i="1"/>
  <c r="W6" i="1"/>
  <c r="W4" i="1"/>
  <c r="W3" i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Fikri Alif Ramadhan</author>
  </authors>
  <commentList>
    <comment ref="C2" authorId="0" shapeId="0" xr:uid="{AF908360-D69D-4056-B1A1-DC8B0305CA27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VP -&gt; kode VIPO
SJ -&gt; kode perusahaan (diberikan oleh PAMA
25 -&gt; tahun karyawan tsb masuk
000 -&gt; nomor urut</t>
        </r>
      </text>
    </comment>
    <comment ref="G2" authorId="0" shapeId="0" xr:uid="{C74F3AD3-A68E-4442-974B-EB287E855EE5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kosongkan apabila tidak ada golongan</t>
        </r>
      </text>
    </comment>
    <comment ref="H2" authorId="0" shapeId="0" xr:uid="{1E1F3EA0-8C96-49E8-B61C-56D33430487B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Tahun pkwt ke ?</t>
        </r>
      </text>
    </comment>
    <comment ref="I2" authorId="0" shapeId="0" xr:uid="{6B6EC81B-978B-43E9-BED5-1F5E21C4C69B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pake petik terlebih dahulu</t>
        </r>
      </text>
    </comment>
    <comment ref="J2" authorId="0" shapeId="0" xr:uid="{FFC5F59B-9276-41D1-AF04-F762762B0906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diisi alamat lengkap dengan kecamatan, kelurahan/desa, kota/kab, kode pos</t>
        </r>
      </text>
    </comment>
    <comment ref="K2" authorId="0" shapeId="0" xr:uid="{3AD7B596-79BD-4FDB-884C-FD7F0C9140D5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diisi alamat lengkap dengan kecamatan, kelurahan/desa, kota/kab</t>
        </r>
      </text>
    </comment>
    <comment ref="Q2" authorId="0" shapeId="0" xr:uid="{CBA1E384-4070-4677-9666-C11A8917D8B4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ditulis pake petik terlebih dahulu</t>
        </r>
      </text>
    </comment>
    <comment ref="S2" authorId="0" shapeId="0" xr:uid="{B73B3ED3-FC32-4CF6-B837-B74BFF4C8B9E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S0 -&gt; Single
K0 -&gt; Kawin
K1 -&gt; Kawin Anak 1
K2 -&gt; Kawin Anak 2
K3 -&gt; Kawin Anak 3
K4 -&gt; Kawin Anak 4
K5 -&gt; Kawin Anak 5
C -&gt; Cerai (janda/duda)</t>
        </r>
      </text>
    </comment>
    <comment ref="W2" authorId="0" shapeId="0" xr:uid="{50839235-0BC3-44E8-90E7-2CD903101E4F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Sudah rumus tinggal copy saja</t>
        </r>
      </text>
    </comment>
    <comment ref="AB2" authorId="0" shapeId="0" xr:uid="{063DA9D0-7202-4054-BE60-6EFD6E62796F}">
      <text>
        <r>
          <rPr>
            <b/>
            <sz val="9"/>
            <color indexed="81"/>
            <rFont val="Tahoma"/>
            <family val="2"/>
          </rPr>
          <t>Fikri Alif Ramadhan:</t>
        </r>
        <r>
          <rPr>
            <sz val="9"/>
            <color indexed="81"/>
            <rFont val="Tahoma"/>
            <family val="2"/>
          </rPr>
          <t xml:space="preserve">
Atasan langsung PAMA</t>
        </r>
      </text>
    </comment>
  </commentList>
</comments>
</file>

<file path=xl/sharedStrings.xml><?xml version="1.0" encoding="utf-8"?>
<sst xmlns="http://schemas.openxmlformats.org/spreadsheetml/2006/main" count="2159" uniqueCount="863">
  <si>
    <t>NO</t>
  </si>
  <si>
    <t>NRP</t>
  </si>
  <si>
    <t>NAMA</t>
  </si>
  <si>
    <t>JABATAN</t>
  </si>
  <si>
    <t>GOL</t>
  </si>
  <si>
    <t>PKWT</t>
  </si>
  <si>
    <t>NO. KTP</t>
  </si>
  <si>
    <t>ALAMAT</t>
  </si>
  <si>
    <t>DOMISILI</t>
  </si>
  <si>
    <t>NO. TELPON</t>
  </si>
  <si>
    <t>GENDER</t>
  </si>
  <si>
    <t>STATUS</t>
  </si>
  <si>
    <t>AGAMA</t>
  </si>
  <si>
    <t>TEMPAT LAHIR</t>
  </si>
  <si>
    <t>TGL LAHIR</t>
  </si>
  <si>
    <t>USIA</t>
  </si>
  <si>
    <t>MULAI KERJA</t>
  </si>
  <si>
    <t>MASA KERJA</t>
  </si>
  <si>
    <t>GOL DARAH</t>
  </si>
  <si>
    <t>PENDIDIKAN</t>
  </si>
  <si>
    <t>IBU KANDUNG</t>
  </si>
  <si>
    <t>NPWP</t>
  </si>
  <si>
    <t>EMAIL</t>
  </si>
  <si>
    <t>LAKI-LAKI</t>
  </si>
  <si>
    <t>ISLAM</t>
  </si>
  <si>
    <t>BADGE NUMBER</t>
  </si>
  <si>
    <t>ATASAN LANGSUNG</t>
  </si>
  <si>
    <t>BADGE EXIPIRED</t>
  </si>
  <si>
    <t>KELURAHAN</t>
  </si>
  <si>
    <t>KECAMATAN</t>
  </si>
  <si>
    <t>KOTA/KABUPATEN</t>
  </si>
  <si>
    <t>PROVINSI</t>
  </si>
  <si>
    <t>LOKAL</t>
  </si>
  <si>
    <t>DEPARTEMENT PAMA</t>
  </si>
  <si>
    <t>LOKAL / NON LOKAL</t>
  </si>
  <si>
    <t>PERUSAHAAN</t>
  </si>
  <si>
    <t>PT. SATRIA JAYA SULTRA</t>
  </si>
  <si>
    <t xml:space="preserve">SM DEPARTEMENT </t>
  </si>
  <si>
    <t>7401071005760001</t>
  </si>
  <si>
    <t>7371111412880009</t>
  </si>
  <si>
    <t>7401070111040001</t>
  </si>
  <si>
    <t>7306132102000001</t>
  </si>
  <si>
    <t>7401011702970001</t>
  </si>
  <si>
    <t>7305095105020001</t>
  </si>
  <si>
    <t>7401012503960002</t>
  </si>
  <si>
    <t>7401010909060006</t>
  </si>
  <si>
    <t>7401010705060001</t>
  </si>
  <si>
    <t>7401071408930001</t>
  </si>
  <si>
    <t>7401144606980003</t>
  </si>
  <si>
    <t>POMALA</t>
  </si>
  <si>
    <t>NON LOKAL</t>
  </si>
  <si>
    <t>081341600676</t>
  </si>
  <si>
    <t>0897949578</t>
  </si>
  <si>
    <t>082291893563</t>
  </si>
  <si>
    <t>081233516231</t>
  </si>
  <si>
    <t>082260151875</t>
  </si>
  <si>
    <t>085652255812</t>
  </si>
  <si>
    <t>082225611991</t>
  </si>
  <si>
    <t>085823757255</t>
  </si>
  <si>
    <t>081527043653</t>
  </si>
  <si>
    <t>085242617976</t>
  </si>
  <si>
    <t>085245979633</t>
  </si>
  <si>
    <t>PEREMPUAN</t>
  </si>
  <si>
    <t>K3</t>
  </si>
  <si>
    <t>S0</t>
  </si>
  <si>
    <t>K1</t>
  </si>
  <si>
    <t xml:space="preserve">KRISTEN </t>
  </si>
  <si>
    <t>O</t>
  </si>
  <si>
    <t>A</t>
  </si>
  <si>
    <t>-</t>
  </si>
  <si>
    <t>08 276 231 1-801 000</t>
  </si>
  <si>
    <t>7401 0701 1104 0001</t>
  </si>
  <si>
    <t>7306 1321 0200 0001</t>
  </si>
  <si>
    <t>43095 8348 815 000</t>
  </si>
  <si>
    <t>7401 0125 0396 0002</t>
  </si>
  <si>
    <t>hseadhi.gudang@gmail.com</t>
  </si>
  <si>
    <t>ahmad.razak801@gmail.com</t>
  </si>
  <si>
    <t>dimaspomalaa77@gmail.com</t>
  </si>
  <si>
    <t>febryanrarasaputra@gmail.com</t>
  </si>
  <si>
    <t>buyungfebryanto.skm@gmail.com</t>
  </si>
  <si>
    <t>azissmusdalifah@gmail.com</t>
  </si>
  <si>
    <t>fandhycotengk@gmail.com</t>
  </si>
  <si>
    <t>arilmuscle@gmail.com</t>
  </si>
  <si>
    <t>muhrizkymuhrizky8@gmail.com</t>
  </si>
  <si>
    <t>Kdeugreat@gmail.com</t>
  </si>
  <si>
    <t>ababilainun05@gmail.com</t>
  </si>
  <si>
    <t>C053514</t>
  </si>
  <si>
    <t>C053515</t>
  </si>
  <si>
    <t>C054028</t>
  </si>
  <si>
    <t>C053449</t>
  </si>
  <si>
    <t>C052462</t>
  </si>
  <si>
    <t>C053516</t>
  </si>
  <si>
    <t>C053313</t>
  </si>
  <si>
    <t>C053314</t>
  </si>
  <si>
    <t>C053315</t>
  </si>
  <si>
    <t>C054032</t>
  </si>
  <si>
    <t>C054026</t>
  </si>
  <si>
    <t>5/14/2026</t>
  </si>
  <si>
    <t>BTN AL MARHAMAH DEPAG BLK B1</t>
  </si>
  <si>
    <t>LING.II PUUEHU</t>
  </si>
  <si>
    <t xml:space="preserve">PELAMBUA </t>
  </si>
  <si>
    <t>TRIANTO BUDIARTO</t>
  </si>
  <si>
    <t xml:space="preserve">AHMAD KURNIAWAN RAZAK </t>
  </si>
  <si>
    <t>DIMAS HERIYANTORO</t>
  </si>
  <si>
    <t xml:space="preserve">FEBRYAN RARA SAPUTRA </t>
  </si>
  <si>
    <t xml:space="preserve">BUYUNG FEBRYANTO </t>
  </si>
  <si>
    <t xml:space="preserve">MUSDALIFAH AZIS SENA </t>
  </si>
  <si>
    <t>MARDEN EFENDI RUDIARTO PAKAE</t>
  </si>
  <si>
    <t xml:space="preserve">MUH. ARIL RAHIM </t>
  </si>
  <si>
    <t>MUHAMMAD RIZKY</t>
  </si>
  <si>
    <t>MUCHLIS</t>
  </si>
  <si>
    <t xml:space="preserve">AINUN ABABIL YUSMAN </t>
  </si>
  <si>
    <t>SITE MANAGER</t>
  </si>
  <si>
    <t xml:space="preserve">FOREMAN </t>
  </si>
  <si>
    <t>ADMIN</t>
  </si>
  <si>
    <t>SAFETY OFFICER</t>
  </si>
  <si>
    <t>HELPER CIVIL</t>
  </si>
  <si>
    <t>HELPER GREASE</t>
  </si>
  <si>
    <t xml:space="preserve">SUDADIH ASIH </t>
  </si>
  <si>
    <t xml:space="preserve">AHMAD NURZAL RAZAK </t>
  </si>
  <si>
    <t xml:space="preserve">SUMARNI </t>
  </si>
  <si>
    <t>RABIA</t>
  </si>
  <si>
    <t>SUHARNI S.</t>
  </si>
  <si>
    <t xml:space="preserve">MAEMUNA AZIS </t>
  </si>
  <si>
    <t xml:space="preserve">ESDELINA ISSU </t>
  </si>
  <si>
    <t>YANTI</t>
  </si>
  <si>
    <t xml:space="preserve">HALIMA </t>
  </si>
  <si>
    <t>SINAR</t>
  </si>
  <si>
    <t xml:space="preserve">RASMIA ABDULLAH </t>
  </si>
  <si>
    <t xml:space="preserve">ZULFAHMI AKMAL </t>
  </si>
  <si>
    <t xml:space="preserve">DUSUN II PELAMBUA </t>
  </si>
  <si>
    <t>DUSUN IV PELAMBUA</t>
  </si>
  <si>
    <t xml:space="preserve">DUSUN KOCCIKANG </t>
  </si>
  <si>
    <t xml:space="preserve">JL. KARAENG SALAMAKA  </t>
  </si>
  <si>
    <t>DUSUN IV PATIMURA</t>
  </si>
  <si>
    <t>LING. I KOWIOHA</t>
  </si>
  <si>
    <t>JL. PELITA</t>
  </si>
  <si>
    <t>BTN MENARA GRAHA TONGGONI</t>
  </si>
  <si>
    <t>LINGK. IV PUUTOBU</t>
  </si>
  <si>
    <t xml:space="preserve">SLEMAN </t>
  </si>
  <si>
    <t>POSO</t>
  </si>
  <si>
    <t>PELAMBUA</t>
  </si>
  <si>
    <t xml:space="preserve">BONTOMARANNU </t>
  </si>
  <si>
    <t>WUNDULAKO</t>
  </si>
  <si>
    <t>BODDIA</t>
  </si>
  <si>
    <t xml:space="preserve">KUPANG </t>
  </si>
  <si>
    <t>KOWIOHA</t>
  </si>
  <si>
    <t>NGAPA</t>
  </si>
  <si>
    <t>DAWI-DAWI</t>
  </si>
  <si>
    <t xml:space="preserve">KOLAKA </t>
  </si>
  <si>
    <t xml:space="preserve">SULAWESI TENGGARA </t>
  </si>
  <si>
    <t xml:space="preserve">SULAWESI SELATAN  </t>
  </si>
  <si>
    <t xml:space="preserve">KOTA MAKASSAR </t>
  </si>
  <si>
    <t>GOWA</t>
  </si>
  <si>
    <t>TAKALAR</t>
  </si>
  <si>
    <t xml:space="preserve">POMALA </t>
  </si>
  <si>
    <t>BIRINGKANAYA</t>
  </si>
  <si>
    <t xml:space="preserve">PATTALASSANG </t>
  </si>
  <si>
    <t xml:space="preserve">GALESONG </t>
  </si>
  <si>
    <t>BERUA</t>
  </si>
  <si>
    <t xml:space="preserve">TIMBUSENG </t>
  </si>
  <si>
    <t xml:space="preserve">BODDIA </t>
  </si>
  <si>
    <t>UNAMENDAA</t>
  </si>
  <si>
    <t>BENDE</t>
  </si>
  <si>
    <t xml:space="preserve">TONGGONI </t>
  </si>
  <si>
    <t>PKWT 1</t>
  </si>
  <si>
    <t xml:space="preserve">STM PERINDUSTRIAN YOGYAKARTA </t>
  </si>
  <si>
    <t>UNIVERSITAS ISLAM NEGERI MAKASSAR</t>
  </si>
  <si>
    <t xml:space="preserve">SMAN 1 POMALA </t>
  </si>
  <si>
    <t>UNIVERSITAS MUSLIM MAKASSAR</t>
  </si>
  <si>
    <t xml:space="preserve">SEKOLAH TINGGI ILMU KESEHATAN MANDALA WALUYA KENDARI </t>
  </si>
  <si>
    <t xml:space="preserve">SEKOLAH TINGGI ILMU EKONOMI MAKASSAR </t>
  </si>
  <si>
    <t>SMKN 1 WUNDULAKO</t>
  </si>
  <si>
    <t>SMAN 1 WUNDULAKO</t>
  </si>
  <si>
    <t>SMKN 9 KOLAKA</t>
  </si>
  <si>
    <t xml:space="preserve">SKB KABUPATEN KOLAKA </t>
  </si>
  <si>
    <t>VISA25001</t>
  </si>
  <si>
    <t>VISA25002</t>
  </si>
  <si>
    <t>VISA25003</t>
  </si>
  <si>
    <t>VISA25004</t>
  </si>
  <si>
    <t>VISA25005</t>
  </si>
  <si>
    <t>VISA25006</t>
  </si>
  <si>
    <t>VISA25007</t>
  </si>
  <si>
    <t>VISA25008</t>
  </si>
  <si>
    <t>VISA25009</t>
  </si>
  <si>
    <t>VISA25010</t>
  </si>
  <si>
    <t>VISA25011</t>
  </si>
  <si>
    <t>KASMAN</t>
  </si>
  <si>
    <t>RICHARD YUDHIE</t>
  </si>
  <si>
    <t>JUMARDIN</t>
  </si>
  <si>
    <t>ANGGA</t>
  </si>
  <si>
    <t>EMHY AMZARA</t>
  </si>
  <si>
    <t xml:space="preserve">HELPER CIVIL </t>
  </si>
  <si>
    <t>7401012504060000</t>
  </si>
  <si>
    <t>7401142910920000</t>
  </si>
  <si>
    <t>7308260905060000</t>
  </si>
  <si>
    <t>7401011410790000</t>
  </si>
  <si>
    <t>K2</t>
  </si>
  <si>
    <t>PLORE</t>
  </si>
  <si>
    <t>POLINGGONA</t>
  </si>
  <si>
    <t>LIPPUJANGE</t>
  </si>
  <si>
    <t>LAMEKONGGA</t>
  </si>
  <si>
    <t>SEA</t>
  </si>
  <si>
    <t>TAHOA</t>
  </si>
  <si>
    <t>LATAMBAGA</t>
  </si>
  <si>
    <t>KOLAKA</t>
  </si>
  <si>
    <t>NANTI</t>
  </si>
  <si>
    <t>GRAHA NUSANTARA REGENCY E.1</t>
  </si>
  <si>
    <t xml:space="preserve">DEPARTEMEN PENDIDIKAN NASIONAL </t>
  </si>
  <si>
    <t>LINGK.III KONGGOASA, LRG.</t>
  </si>
  <si>
    <t xml:space="preserve">NURMIN MILO </t>
  </si>
  <si>
    <t>kasman250406@gmail.com</t>
  </si>
  <si>
    <t>JALAN DI PONEGORO</t>
  </si>
  <si>
    <t xml:space="preserve">MAN 3 BONE </t>
  </si>
  <si>
    <t>anggaanugrah353@gmail.com</t>
  </si>
  <si>
    <t>BUNAYA</t>
  </si>
  <si>
    <t>emhy.amzara@gmail.com</t>
  </si>
  <si>
    <t>DUSUN I PEWISOA</t>
  </si>
  <si>
    <t>SMKN 1 POLINGGONA</t>
  </si>
  <si>
    <t>KARTINI</t>
  </si>
  <si>
    <t>jhun11698@gmail.com</t>
  </si>
  <si>
    <t>66.695.694.1-815.000</t>
  </si>
  <si>
    <t>JL. PANCASILA NO. 48</t>
  </si>
  <si>
    <t>CICI</t>
  </si>
  <si>
    <t>C055543</t>
  </si>
  <si>
    <t>C055542</t>
  </si>
  <si>
    <t>C055544</t>
  </si>
  <si>
    <t>C055754</t>
  </si>
  <si>
    <t>C056444</t>
  </si>
  <si>
    <t>richardyudhie43@gmail.com</t>
  </si>
  <si>
    <t>SMAN 2 KOLAKA</t>
  </si>
  <si>
    <t>VISA25012</t>
  </si>
  <si>
    <t>VISA25013</t>
  </si>
  <si>
    <t>VISA25014</t>
  </si>
  <si>
    <t>VISA25015</t>
  </si>
  <si>
    <t>VISA25016</t>
  </si>
  <si>
    <t>YUSRAN</t>
  </si>
  <si>
    <t>ARYO ANGGARA</t>
  </si>
  <si>
    <t>KADEK SERLY</t>
  </si>
  <si>
    <t>RAHMAT FAUZI</t>
  </si>
  <si>
    <t>YUSNA PAAT</t>
  </si>
  <si>
    <t>RISWAN</t>
  </si>
  <si>
    <t>AHMAD DANI</t>
  </si>
  <si>
    <t>HERLIN</t>
  </si>
  <si>
    <t>ARHAM</t>
  </si>
  <si>
    <t>JARLAN</t>
  </si>
  <si>
    <t>TANBARU</t>
  </si>
  <si>
    <t>ROJAB SANTOSO</t>
  </si>
  <si>
    <t>RUSLI</t>
  </si>
  <si>
    <t>REINGHAT IRWANTO PAPPANG</t>
  </si>
  <si>
    <t>MUH RIPALDI</t>
  </si>
  <si>
    <t xml:space="preserve">AWAL IRAWAN </t>
  </si>
  <si>
    <t>EXCAVATOR OPERATOR IN MINING</t>
  </si>
  <si>
    <t>BULLDOZER OPERATOR IN MINING</t>
  </si>
  <si>
    <t>7401201404970001</t>
  </si>
  <si>
    <t>7401072801030001</t>
  </si>
  <si>
    <t>7401085005020001</t>
  </si>
  <si>
    <t>7401070908020002</t>
  </si>
  <si>
    <t>7401215409980001</t>
  </si>
  <si>
    <t>7401012904040002</t>
  </si>
  <si>
    <t>7401181508050004</t>
  </si>
  <si>
    <t>7401070805990002</t>
  </si>
  <si>
    <t>7401072607000003</t>
  </si>
  <si>
    <t>7401011007970002</t>
  </si>
  <si>
    <t>7401012612900001</t>
  </si>
  <si>
    <t>7401070205850003</t>
  </si>
  <si>
    <t>7401081208020001</t>
  </si>
  <si>
    <t>7401181507960001</t>
  </si>
  <si>
    <t>DUSUN I MATABONDU</t>
  </si>
  <si>
    <t>LINGK. 3</t>
  </si>
  <si>
    <t>DUSUN II TINGGO</t>
  </si>
  <si>
    <t>JL. PROTOKOL</t>
  </si>
  <si>
    <t>JL. EKONOMI NO. 37</t>
  </si>
  <si>
    <t xml:space="preserve">LINGK. WUNDUHAMBA </t>
  </si>
  <si>
    <t>DUSUN II SANRE BULU</t>
  </si>
  <si>
    <t>JL. PEMUDA BELAKANG SMP 1</t>
  </si>
  <si>
    <t xml:space="preserve">DUSUN I TOENGGE </t>
  </si>
  <si>
    <t>DUSUN II SOGAE</t>
  </si>
  <si>
    <t>JL. NURI PERUMAHAN GURU</t>
  </si>
  <si>
    <t>DUSUN I</t>
  </si>
  <si>
    <t>LINGK. I TAWO - TAWO</t>
  </si>
  <si>
    <t>PESOUHA</t>
  </si>
  <si>
    <t>PUUNDOHO</t>
  </si>
  <si>
    <t>TAMBEA</t>
  </si>
  <si>
    <t>TONDOWOLIO</t>
  </si>
  <si>
    <t>TANGGETADA</t>
  </si>
  <si>
    <t>POMALAA</t>
  </si>
  <si>
    <t>TOWUA</t>
  </si>
  <si>
    <t>SILEA</t>
  </si>
  <si>
    <t>MATABONDU</t>
  </si>
  <si>
    <t>TANDEBURA</t>
  </si>
  <si>
    <t>TINGGO</t>
  </si>
  <si>
    <t>BAULA</t>
  </si>
  <si>
    <t>TIRAWUTA</t>
  </si>
  <si>
    <t>WATUBANGGA</t>
  </si>
  <si>
    <t>KOLAKA TIMUR</t>
  </si>
  <si>
    <t>LOMBO</t>
  </si>
  <si>
    <t>SEKOLAH MENENGAH KEJURUAN NEGERI 2 KOLAKA</t>
  </si>
  <si>
    <t>NOVA ARIANTI</t>
  </si>
  <si>
    <t>ahmaddani93533@gmail.com</t>
  </si>
  <si>
    <t xml:space="preserve">PEREMPUAN </t>
  </si>
  <si>
    <t>KUKUTIO</t>
  </si>
  <si>
    <t>PAKET C BINA INSAN HARAPAN</t>
  </si>
  <si>
    <t>ILUH WIDIANI</t>
  </si>
  <si>
    <t>7401 0850 0502 0001</t>
  </si>
  <si>
    <t>kadekserly3@gmail.com</t>
  </si>
  <si>
    <t>SMAN 1 POMALAA</t>
  </si>
  <si>
    <t>NURLAELA</t>
  </si>
  <si>
    <t>40.968.885.0-815.000</t>
  </si>
  <si>
    <t>rahmatbego08@gmail.com</t>
  </si>
  <si>
    <t>PAKET C MEDASO KECAMATAN POMALAA</t>
  </si>
  <si>
    <t>RUSNAENI</t>
  </si>
  <si>
    <t>rojabsantoso320@gmail.com</t>
  </si>
  <si>
    <t>BONE</t>
  </si>
  <si>
    <t xml:space="preserve">PAKET C HARAPAN JAYA </t>
  </si>
  <si>
    <t>SIARNI</t>
  </si>
  <si>
    <t>nakalady48@gmail.com</t>
  </si>
  <si>
    <t>TOSIBA</t>
  </si>
  <si>
    <t>SMKN 1 SAMATURU</t>
  </si>
  <si>
    <t>NURHAYATI</t>
  </si>
  <si>
    <t>61.161.752.3-815.000</t>
  </si>
  <si>
    <t>yusran.tonggoni@gmail.com</t>
  </si>
  <si>
    <t>DERWIYANTI</t>
  </si>
  <si>
    <t>97.032.876.1-815.000</t>
  </si>
  <si>
    <t>jarlanreny876@gmail.com</t>
  </si>
  <si>
    <t>HENDRATMOKO PANGESTU</t>
  </si>
  <si>
    <t>SMKN 1 KOLAKA</t>
  </si>
  <si>
    <t xml:space="preserve">NINING HUSNANINGSIH </t>
  </si>
  <si>
    <t>hendratmokop25@gmail.com</t>
  </si>
  <si>
    <t>BANTAENG</t>
  </si>
  <si>
    <t>NURAENI</t>
  </si>
  <si>
    <t>diiriswan88@gmail.com</t>
  </si>
  <si>
    <t>AMBAPA</t>
  </si>
  <si>
    <t xml:space="preserve">UNIVERSITAS SEMBILANBELAS NOVEMBER KOLAKA </t>
  </si>
  <si>
    <t>ARNA</t>
  </si>
  <si>
    <t>65.656.533.0-815.000</t>
  </si>
  <si>
    <t>yusnapaat24@gmail.com</t>
  </si>
  <si>
    <t>SMAN 2 WUNDULAKO</t>
  </si>
  <si>
    <t>60.720.968.1-815.000</t>
  </si>
  <si>
    <t>arhamkolaka675@gmail.com</t>
  </si>
  <si>
    <t>KATHOLIK</t>
  </si>
  <si>
    <t xml:space="preserve">SMAN 16 BOMBANA </t>
  </si>
  <si>
    <t>BERLY YUDHIE KABE</t>
  </si>
  <si>
    <t>10.892.177.6-815.000</t>
  </si>
  <si>
    <t>arixstar77@gmail.com</t>
  </si>
  <si>
    <t>SMAN 1 TIRAWUTA</t>
  </si>
  <si>
    <t>ANISA PONNO</t>
  </si>
  <si>
    <t>Jhontanbaru8@gmail.com</t>
  </si>
  <si>
    <t>SMPN 5 WATAMPONE</t>
  </si>
  <si>
    <t>RAPPE</t>
  </si>
  <si>
    <t>herlingemini6@gmail.com</t>
  </si>
  <si>
    <t>7603132911920001</t>
  </si>
  <si>
    <t>DUSUN II</t>
  </si>
  <si>
    <t>PETUDUA</t>
  </si>
  <si>
    <t>BATUPAPAN</t>
  </si>
  <si>
    <t xml:space="preserve">POLITEKNIK PERTANIAN NEGERI PANGKAJENE DAN KEPULAUAN </t>
  </si>
  <si>
    <t>ATTENG</t>
  </si>
  <si>
    <t>65.054.413.3-805.000</t>
  </si>
  <si>
    <t>reinghatp@gmail.com</t>
  </si>
  <si>
    <t>7401071803000001</t>
  </si>
  <si>
    <t>JL. POROS POMALAA-KOLAKA</t>
  </si>
  <si>
    <t xml:space="preserve">SMP SWASTA ANTAM </t>
  </si>
  <si>
    <t>NARI</t>
  </si>
  <si>
    <t>zigas964@gmail.com</t>
  </si>
  <si>
    <t>7401181010990002</t>
  </si>
  <si>
    <t>DUSUN I WOEMEA</t>
  </si>
  <si>
    <t>WOEMEA</t>
  </si>
  <si>
    <t>SMKN 1 TANGGETADA</t>
  </si>
  <si>
    <t>WAJI</t>
  </si>
  <si>
    <t>Bianabianir@gmail.com</t>
  </si>
  <si>
    <t>MARWATI</t>
  </si>
  <si>
    <t>VISA25040</t>
  </si>
  <si>
    <t>VISA25041</t>
  </si>
  <si>
    <t>VISA25042</t>
  </si>
  <si>
    <t>VISA25043</t>
  </si>
  <si>
    <t>VISA25044</t>
  </si>
  <si>
    <t>VISA25045</t>
  </si>
  <si>
    <t>VISA25046</t>
  </si>
  <si>
    <t>VISA25047</t>
  </si>
  <si>
    <t>VISA25048</t>
  </si>
  <si>
    <t>VISA25049</t>
  </si>
  <si>
    <t>VISA25050</t>
  </si>
  <si>
    <t>VISA25051</t>
  </si>
  <si>
    <t>VISA25052</t>
  </si>
  <si>
    <t>VISA25053</t>
  </si>
  <si>
    <t>VISA25054</t>
  </si>
  <si>
    <t>VISA25055</t>
  </si>
  <si>
    <t>VISA25056</t>
  </si>
  <si>
    <t xml:space="preserve">ARISWAN </t>
  </si>
  <si>
    <t xml:space="preserve">AWALUDDIN </t>
  </si>
  <si>
    <t>DIDI KURNIANTO</t>
  </si>
  <si>
    <t>EDI KULLIN</t>
  </si>
  <si>
    <t>FAISAL DG RANI</t>
  </si>
  <si>
    <t>FERDI</t>
  </si>
  <si>
    <t>HARPON</t>
  </si>
  <si>
    <t>HERI SETIYAWAN</t>
  </si>
  <si>
    <t xml:space="preserve">HILMAN USMAN </t>
  </si>
  <si>
    <t>INDRI PUSPITA</t>
  </si>
  <si>
    <t>ISWAR</t>
  </si>
  <si>
    <t xml:space="preserve">KEVIN KURNIAWAN </t>
  </si>
  <si>
    <t xml:space="preserve">MIKAEL PATONTONGAN </t>
  </si>
  <si>
    <t>MUH. FAIDIL AFANDI</t>
  </si>
  <si>
    <t>MUH. ALIF SYAN</t>
  </si>
  <si>
    <t xml:space="preserve">NABIL RAMADANA </t>
  </si>
  <si>
    <t>ARMANSYA</t>
  </si>
  <si>
    <t>M. FIKRAM</t>
  </si>
  <si>
    <t>MEGAWATI</t>
  </si>
  <si>
    <t xml:space="preserve">MUH. ALFIAN MALLAWA PUTRA </t>
  </si>
  <si>
    <t>EDI HARYONO</t>
  </si>
  <si>
    <t xml:space="preserve">RADIT SAPUTRA </t>
  </si>
  <si>
    <t>RAHMAT SALDY</t>
  </si>
  <si>
    <t>REGI ADITIA</t>
  </si>
  <si>
    <t>RENALDI</t>
  </si>
  <si>
    <t xml:space="preserve">RENDI PRIAWAN </t>
  </si>
  <si>
    <t>RYOALDI</t>
  </si>
  <si>
    <t>SAPRIADI</t>
  </si>
  <si>
    <t>SUKRI</t>
  </si>
  <si>
    <t xml:space="preserve">SUKRIADI </t>
  </si>
  <si>
    <t xml:space="preserve">TAZRIL TAFAKKUR </t>
  </si>
  <si>
    <t xml:space="preserve">WINDA SATRIA </t>
  </si>
  <si>
    <t xml:space="preserve">YOHANIS </t>
  </si>
  <si>
    <t>COMPACTOR OPERATOR IN MINING</t>
  </si>
  <si>
    <t>7409072712990003</t>
  </si>
  <si>
    <t>7401120612980000</t>
  </si>
  <si>
    <t>74012441207980001</t>
  </si>
  <si>
    <t>7318091705950000</t>
  </si>
  <si>
    <t>7401141211790000</t>
  </si>
  <si>
    <t>7301060201980000</t>
  </si>
  <si>
    <t>7401072707800000</t>
  </si>
  <si>
    <t>7401081105010001</t>
  </si>
  <si>
    <t>7401140211880001</t>
  </si>
  <si>
    <t>7401075111000000</t>
  </si>
  <si>
    <t>7308222605010001</t>
  </si>
  <si>
    <t>7401140705010001</t>
  </si>
  <si>
    <t>7401121709010001</t>
  </si>
  <si>
    <t>7401011304070003</t>
  </si>
  <si>
    <t>7401122203030002</t>
  </si>
  <si>
    <t>7401230810050001</t>
  </si>
  <si>
    <t>7401201406020001</t>
  </si>
  <si>
    <t>7401072509050002</t>
  </si>
  <si>
    <t>7401074712040001</t>
  </si>
  <si>
    <t>7401072807030002</t>
  </si>
  <si>
    <t>7401040902960001</t>
  </si>
  <si>
    <t>7401202507060001</t>
  </si>
  <si>
    <t>7401072806970001</t>
  </si>
  <si>
    <t>7401032005010001</t>
  </si>
  <si>
    <t>7401102204020001</t>
  </si>
  <si>
    <t>7401241907000003</t>
  </si>
  <si>
    <t>7401241102020001</t>
  </si>
  <si>
    <t>7307071803010002</t>
  </si>
  <si>
    <t>7401252107030001</t>
  </si>
  <si>
    <t>7307041704050003</t>
  </si>
  <si>
    <t>7307043112990047</t>
  </si>
  <si>
    <t>7401044202900002</t>
  </si>
  <si>
    <t>7402181408980002</t>
  </si>
  <si>
    <t>DESA KOKAPI</t>
  </si>
  <si>
    <t>DUSUN III MARGA SARI</t>
  </si>
  <si>
    <t xml:space="preserve">DUSUN SUKA JAYA </t>
  </si>
  <si>
    <t xml:space="preserve">JL. EKONOMI </t>
  </si>
  <si>
    <t xml:space="preserve">JL. DURIAN </t>
  </si>
  <si>
    <t>LINGK.III TAWENGGARE</t>
  </si>
  <si>
    <t xml:space="preserve">JL. PENDIDIKAN </t>
  </si>
  <si>
    <t>JL. NURULYAKIN NO. 37</t>
  </si>
  <si>
    <t>JL. ABADI NO. 210</t>
  </si>
  <si>
    <t>JL. KONGGOASA</t>
  </si>
  <si>
    <t>JL. MANGGA</t>
  </si>
  <si>
    <t>JL. DURIAN NO. 103</t>
  </si>
  <si>
    <t>PUURODA</t>
  </si>
  <si>
    <t xml:space="preserve">LINGK. III KONGGOASA </t>
  </si>
  <si>
    <t>DUSUN III ONEMBUTE</t>
  </si>
  <si>
    <t xml:space="preserve">DUSUN II KAYU ANGIN </t>
  </si>
  <si>
    <t>DUSUN III MATTIRO RIAJA</t>
  </si>
  <si>
    <t xml:space="preserve">JL. CAKALANG LRNG </t>
  </si>
  <si>
    <t>JL. AHMAD YANI</t>
  </si>
  <si>
    <t>DUSUN 1 LALONGGASU</t>
  </si>
  <si>
    <t>LALOMBAI</t>
  </si>
  <si>
    <t xml:space="preserve">DUSUN I ULURINA </t>
  </si>
  <si>
    <t xml:space="preserve">DUSUN III SUKA MAUU </t>
  </si>
  <si>
    <t>JL. POROS POMALAA</t>
  </si>
  <si>
    <t>DESA BAHOMOTEFE</t>
  </si>
  <si>
    <t>DUSUN II RUWITARI</t>
  </si>
  <si>
    <t xml:space="preserve">DUSUN BONTOLAIBA </t>
  </si>
  <si>
    <t>DUSUN III MOTOLINDI</t>
  </si>
  <si>
    <t xml:space="preserve">JL. PEMUDA </t>
  </si>
  <si>
    <t>JL. POROS KOLAKA-POMALAA</t>
  </si>
  <si>
    <t>KOKAPI</t>
  </si>
  <si>
    <t xml:space="preserve">PUUBUNGA </t>
  </si>
  <si>
    <t>WOWOLI</t>
  </si>
  <si>
    <t xml:space="preserve">PESOUHA </t>
  </si>
  <si>
    <t>SAKULI</t>
  </si>
  <si>
    <t>KOLAKAASI</t>
  </si>
  <si>
    <t>MACEGE</t>
  </si>
  <si>
    <t>LIKU</t>
  </si>
  <si>
    <t>WUTULIANDU</t>
  </si>
  <si>
    <t>SANI-SANI</t>
  </si>
  <si>
    <t>HUKO-HUKO</t>
  </si>
  <si>
    <t>ULULAPAO-PAO</t>
  </si>
  <si>
    <t>BAHOMOTEFE</t>
  </si>
  <si>
    <t>LAMONDAPE</t>
  </si>
  <si>
    <t xml:space="preserve">GANTARANG </t>
  </si>
  <si>
    <t xml:space="preserve">POPALIA </t>
  </si>
  <si>
    <t>LALOMBAA</t>
  </si>
  <si>
    <t>SAWA</t>
  </si>
  <si>
    <t xml:space="preserve">BAULA </t>
  </si>
  <si>
    <t>TOARI</t>
  </si>
  <si>
    <t xml:space="preserve">LATAMBAGA </t>
  </si>
  <si>
    <t>TANETE RIATTANG BARAT</t>
  </si>
  <si>
    <t>SAMATURU</t>
  </si>
  <si>
    <t>ULUIWOI</t>
  </si>
  <si>
    <t>WOLO</t>
  </si>
  <si>
    <t xml:space="preserve">BUNGKU TIMUR </t>
  </si>
  <si>
    <t xml:space="preserve">SINJAI TENGAH </t>
  </si>
  <si>
    <t xml:space="preserve">TANGGGETADA </t>
  </si>
  <si>
    <t>KONAWE UTARA</t>
  </si>
  <si>
    <t>MOROWALI</t>
  </si>
  <si>
    <t>SINJAI</t>
  </si>
  <si>
    <t xml:space="preserve">NON LOKAL </t>
  </si>
  <si>
    <t xml:space="preserve">LOKAL </t>
  </si>
  <si>
    <t xml:space="preserve">SULAWESI TENGAH </t>
  </si>
  <si>
    <t>895428404229</t>
  </si>
  <si>
    <t>895392570741</t>
  </si>
  <si>
    <t>SARANG DENA'</t>
  </si>
  <si>
    <t>MAKASSAR</t>
  </si>
  <si>
    <t>BENTENG JAMPEA</t>
  </si>
  <si>
    <t>POLMAS</t>
  </si>
  <si>
    <t>MOWEWE</t>
  </si>
  <si>
    <t>PUUBENUA</t>
  </si>
  <si>
    <t>TOLALA</t>
  </si>
  <si>
    <t>MACCEDDE</t>
  </si>
  <si>
    <t xml:space="preserve">JAKARTA </t>
  </si>
  <si>
    <t>LASARAU</t>
  </si>
  <si>
    <t>ULULAPAOPAO</t>
  </si>
  <si>
    <t>MACCOPE</t>
  </si>
  <si>
    <t>JIRA</t>
  </si>
  <si>
    <t>MATAHOALU</t>
  </si>
  <si>
    <t>MA BAHRULHIKMA KOKAPI</t>
  </si>
  <si>
    <t xml:space="preserve">SMP SATAP 1 BAULA </t>
  </si>
  <si>
    <t>SMAN 1 WATUBANGGA</t>
  </si>
  <si>
    <t>SMAN 1 MAPPAK</t>
  </si>
  <si>
    <t>SMK HANDAYANI</t>
  </si>
  <si>
    <t>UNIVERSITAS MUHAMMDIYAH KENDARI</t>
  </si>
  <si>
    <t xml:space="preserve">SMA PAKET C </t>
  </si>
  <si>
    <t>SMK NEGERI 2 POMALA</t>
  </si>
  <si>
    <t>SMKN 2 KENDARI</t>
  </si>
  <si>
    <t xml:space="preserve">SMKS BINER KOLAKA </t>
  </si>
  <si>
    <t xml:space="preserve">SMP NEGERI 5 WATAMPONE </t>
  </si>
  <si>
    <t>SMA NEGERI 1 KOLKA</t>
  </si>
  <si>
    <t xml:space="preserve">SMK NEGERI 1 BAULA </t>
  </si>
  <si>
    <t xml:space="preserve">SMKN 2 KOLAKA </t>
  </si>
  <si>
    <t xml:space="preserve">PENDIDIKAN KESETARAAN PROGRAM PAKET C </t>
  </si>
  <si>
    <t>SMAN 1 TOLALA</t>
  </si>
  <si>
    <t xml:space="preserve">MADRASAH ALIYAH NEGERI 1 KOLAKA </t>
  </si>
  <si>
    <t xml:space="preserve">SMPN 1 POMALA </t>
  </si>
  <si>
    <t xml:space="preserve">SMK 2 POMALA </t>
  </si>
  <si>
    <t>SMA 1 LAINEA</t>
  </si>
  <si>
    <t>SMAN 1 BAHODOPI</t>
  </si>
  <si>
    <t>SMAN1 MOWEWE</t>
  </si>
  <si>
    <t>SMAN 1 WOLO</t>
  </si>
  <si>
    <t xml:space="preserve">SMA 1 MUHAMMADIYAH </t>
  </si>
  <si>
    <t xml:space="preserve">SMA NEGERI 2 BONE </t>
  </si>
  <si>
    <t>SMA1 WAWATOBI</t>
  </si>
  <si>
    <t>MA MADRASAH ALYA MANIMPAHOI</t>
  </si>
  <si>
    <t>UNIVERSITAS MUHAMMADIYAH SINJAI</t>
  </si>
  <si>
    <t xml:space="preserve">SMAN 1 KOLAKA </t>
  </si>
  <si>
    <t>PAKET C PKBM MANDARA KABUPATEN KOLAKA TIMUR</t>
  </si>
  <si>
    <t>ariswan2719@gmail.com</t>
  </si>
  <si>
    <t>au136857@gmail.com</t>
  </si>
  <si>
    <t>kassberr40@gmail.com</t>
  </si>
  <si>
    <t>edikullin95@gmail.com</t>
  </si>
  <si>
    <t xml:space="preserve"> faisalmks6677@gmail.com</t>
  </si>
  <si>
    <t>ferdiedi877@gmail.com</t>
  </si>
  <si>
    <t>harpononhal05@gmail.com</t>
  </si>
  <si>
    <t>sh9694180@gmail.com</t>
  </si>
  <si>
    <t>hilmanyayang2@gmail.com</t>
  </si>
  <si>
    <t>ndripuspita256@gmail.com</t>
  </si>
  <si>
    <t xml:space="preserve">iswarwtp@gmail.com </t>
  </si>
  <si>
    <t>kvnkurniawan027@gmail.com</t>
  </si>
  <si>
    <t>michaelmicha7887@gmail.com</t>
  </si>
  <si>
    <t>muhfaidilafandi47@gmail.com</t>
  </si>
  <si>
    <t xml:space="preserve">malifsyan@gmail.com </t>
  </si>
  <si>
    <t>nabilsamatra@gmail.com</t>
  </si>
  <si>
    <t>ammankettah@gmail.com</t>
  </si>
  <si>
    <t>fikramadventur12@gmail.com</t>
  </si>
  <si>
    <t>mgwti304@gmail.com</t>
  </si>
  <si>
    <t>ppiank565@gmail.com</t>
  </si>
  <si>
    <t>edhis355@gmail.com</t>
  </si>
  <si>
    <t>raditsaputraklk175@gmail.com</t>
  </si>
  <si>
    <t>ethonk7@gmail.com</t>
  </si>
  <si>
    <t>aditiaregi63@gmail.com</t>
  </si>
  <si>
    <t>aldikolaka22@gmail.com</t>
  </si>
  <si>
    <t>rendipriawan1907@gmail.com</t>
  </si>
  <si>
    <t>ryoaldi8@gmail.com</t>
  </si>
  <si>
    <t>thescrawl0311@gmail.com</t>
  </si>
  <si>
    <t>sukrhy91@gmail.com</t>
  </si>
  <si>
    <t xml:space="preserve">sukrihamsend@gmail.com </t>
  </si>
  <si>
    <t xml:space="preserve">tazriltafakkur3@gmail.com </t>
  </si>
  <si>
    <t xml:space="preserve">Windasatria02@gmail.com </t>
  </si>
  <si>
    <t>yohanis.anis98@gmail.com</t>
  </si>
  <si>
    <t>SINANG</t>
  </si>
  <si>
    <t>7307 0431 1299 0047</t>
  </si>
  <si>
    <t>C047587</t>
  </si>
  <si>
    <t>C045016</t>
  </si>
  <si>
    <t>C058832</t>
  </si>
  <si>
    <t>C043307</t>
  </si>
  <si>
    <t>C058839</t>
  </si>
  <si>
    <t>C042869</t>
  </si>
  <si>
    <t>C058827</t>
  </si>
  <si>
    <t>C058831</t>
  </si>
  <si>
    <t>C058830</t>
  </si>
  <si>
    <t>C058828</t>
  </si>
  <si>
    <t>C048076</t>
  </si>
  <si>
    <t>C058838</t>
  </si>
  <si>
    <t>C058835</t>
  </si>
  <si>
    <t>C058836</t>
  </si>
  <si>
    <t>C058834</t>
  </si>
  <si>
    <t>C042350</t>
  </si>
  <si>
    <t>C058829</t>
  </si>
  <si>
    <t>RICE</t>
  </si>
  <si>
    <t>41.986.545.6-815.000</t>
  </si>
  <si>
    <t>HAMIDA</t>
  </si>
  <si>
    <t>50.185.489.7-815.00</t>
  </si>
  <si>
    <t>WATINI</t>
  </si>
  <si>
    <t>MAMMA'</t>
  </si>
  <si>
    <t>21.074.873.7-815.000</t>
  </si>
  <si>
    <t>KATEM</t>
  </si>
  <si>
    <t>21.593.462.1-815.000</t>
  </si>
  <si>
    <t>ROSIDA</t>
  </si>
  <si>
    <t>ERNA</t>
  </si>
  <si>
    <t>WIRNAWATI</t>
  </si>
  <si>
    <t>71.786.438.3-815.000</t>
  </si>
  <si>
    <t>SUHAEMI</t>
  </si>
  <si>
    <t>ROSNAH</t>
  </si>
  <si>
    <t>39.362.197.4-815.000</t>
  </si>
  <si>
    <t>SUKAENA</t>
  </si>
  <si>
    <t>LINGK.II LALODANGGAE</t>
  </si>
  <si>
    <t>K0</t>
  </si>
  <si>
    <t>RATNAWATI</t>
  </si>
  <si>
    <t>BAHERATANG</t>
  </si>
  <si>
    <t>7307 0718 0301 0002</t>
  </si>
  <si>
    <t>KURNIATI</t>
  </si>
  <si>
    <t>40.604.672.2-811.000</t>
  </si>
  <si>
    <t>NURHAEDA</t>
  </si>
  <si>
    <t>PONASIAH</t>
  </si>
  <si>
    <t>DUSUN V</t>
  </si>
  <si>
    <t>MARIAM</t>
  </si>
  <si>
    <t>NURHANI</t>
  </si>
  <si>
    <t>60.786.484.0-815.000</t>
  </si>
  <si>
    <t>MURNI</t>
  </si>
  <si>
    <t>SUMIATI</t>
  </si>
  <si>
    <t>92.565.034.3-815.000</t>
  </si>
  <si>
    <t xml:space="preserve">ISLAM </t>
  </si>
  <si>
    <t>NURLAILA</t>
  </si>
  <si>
    <t>HARMA</t>
  </si>
  <si>
    <t>K8</t>
  </si>
  <si>
    <t>MARIA.M</t>
  </si>
  <si>
    <t>HASMIATI</t>
  </si>
  <si>
    <t>KASNI</t>
  </si>
  <si>
    <t>03.803.679.4-815.000</t>
  </si>
  <si>
    <t>SAMSINAR</t>
  </si>
  <si>
    <t>HANIFA</t>
  </si>
  <si>
    <t>42.567.977.6-815.000</t>
  </si>
  <si>
    <t>MULIATI.T</t>
  </si>
  <si>
    <t>SARIATIN</t>
  </si>
  <si>
    <t>SUKMA DEWI</t>
  </si>
  <si>
    <t>MASNIA</t>
  </si>
  <si>
    <t>7401 0320 0501 0001</t>
  </si>
  <si>
    <t>RUSMINI</t>
  </si>
  <si>
    <t>SYAMSU DARMAN</t>
  </si>
  <si>
    <t>ARIANTO</t>
  </si>
  <si>
    <t>MOH. FAHRIEL</t>
  </si>
  <si>
    <t>MUH. RUSLIM LIMPO</t>
  </si>
  <si>
    <t>MUH. ALIF MULTASYAM</t>
  </si>
  <si>
    <t>AAN APRIANTO</t>
  </si>
  <si>
    <t>AL AZHAR</t>
  </si>
  <si>
    <t>ANDI ICHLAS ANUGRAH</t>
  </si>
  <si>
    <t>MUHAMMAD ANIS RASBY</t>
  </si>
  <si>
    <t>MUHAMMAD HAKIEM</t>
  </si>
  <si>
    <t>PEBRIAN IRAWAN BAEDO</t>
  </si>
  <si>
    <t>A. MUH. AKRAM</t>
  </si>
  <si>
    <t>RESA PURNAMA</t>
  </si>
  <si>
    <t>MUH. RAIHAN PUTRA</t>
  </si>
  <si>
    <t>YUSMIN NUGROHO</t>
  </si>
  <si>
    <t>AGUS WIDODO</t>
  </si>
  <si>
    <t>AHMAD MUBARAK</t>
  </si>
  <si>
    <t>DANI</t>
  </si>
  <si>
    <t>INDRA ARDIANSYAH</t>
  </si>
  <si>
    <t>ISWANTO SYAM</t>
  </si>
  <si>
    <t>GITO AUDRIANTO</t>
  </si>
  <si>
    <t>SYARIF</t>
  </si>
  <si>
    <t>FIKRI BASRI DAENG PALIWANG</t>
  </si>
  <si>
    <t>MUH. FADHIL DZAKWAN</t>
  </si>
  <si>
    <t>ANDI ASWAN</t>
  </si>
  <si>
    <t>7401122612060001</t>
  </si>
  <si>
    <t>DUSUN II OSUMBEGOLUA</t>
  </si>
  <si>
    <t>ULU BAULA</t>
  </si>
  <si>
    <t>SULAWESI TENGGARA</t>
  </si>
  <si>
    <t>7401182407000001</t>
  </si>
  <si>
    <t>7401250410020001</t>
  </si>
  <si>
    <t xml:space="preserve">DUSUN I NIRANNUANG </t>
  </si>
  <si>
    <t xml:space="preserve">WATALARA </t>
  </si>
  <si>
    <t>ariantoasdar626@gmail.com</t>
  </si>
  <si>
    <t>7405081805050002</t>
  </si>
  <si>
    <t xml:space="preserve">LINGK II MOSEHA </t>
  </si>
  <si>
    <t xml:space="preserve">LAMEKONGGA </t>
  </si>
  <si>
    <t>KENDARI</t>
  </si>
  <si>
    <t>aril.irianto18@gmail.com</t>
  </si>
  <si>
    <t xml:space="preserve">SMA NEGERI 2 KONAWE SELATAN </t>
  </si>
  <si>
    <t>7401072012000002</t>
  </si>
  <si>
    <t>JL. HATI SENANG LRG. MERPATI</t>
  </si>
  <si>
    <t>SMA NEGERI 1 POMALAA</t>
  </si>
  <si>
    <t>Adelimpo@gmail.com</t>
  </si>
  <si>
    <t>7401040405060001</t>
  </si>
  <si>
    <t xml:space="preserve">JL. TMD LING. V </t>
  </si>
  <si>
    <t xml:space="preserve">LALOEHA </t>
  </si>
  <si>
    <t xml:space="preserve">SMA NEGERI 1 KOLAKA </t>
  </si>
  <si>
    <t>muhalifmultasyam@gamil.com</t>
  </si>
  <si>
    <t>7401012007070003</t>
  </si>
  <si>
    <t xml:space="preserve">KOWIOHA </t>
  </si>
  <si>
    <t xml:space="preserve">WUNDULAKO </t>
  </si>
  <si>
    <t xml:space="preserve">SMK NEGERI 2 KOLAKA </t>
  </si>
  <si>
    <t>aanapprianto526@gmail.com</t>
  </si>
  <si>
    <t>JL. P. LEMO NO. 21</t>
  </si>
  <si>
    <t xml:space="preserve">aaccaan22@gmail.com </t>
  </si>
  <si>
    <t>7401070107040001</t>
  </si>
  <si>
    <t xml:space="preserve">JL. PAHLAWAN </t>
  </si>
  <si>
    <t>LAMOKATO</t>
  </si>
  <si>
    <t>UNIVERSITAS HALUOLEO</t>
  </si>
  <si>
    <t>7401042912020005</t>
  </si>
  <si>
    <t xml:space="preserve">JL. BADEWI I BTN VILLA INDAH </t>
  </si>
  <si>
    <t>BLANDETE</t>
  </si>
  <si>
    <t>7408131012020002</t>
  </si>
  <si>
    <t xml:space="preserve">UJUNG TOBAKU </t>
  </si>
  <si>
    <t>SMA HAJI AGUS SALIM KATOI</t>
  </si>
  <si>
    <t>rasbyanis@gmail.com</t>
  </si>
  <si>
    <t>andiichlasanuggrah@gmail.com</t>
  </si>
  <si>
    <t>KOMPLEKS SSB POS 2 NO 57</t>
  </si>
  <si>
    <t>SMK NEGERI 2 POMALAA</t>
  </si>
  <si>
    <t>muhammadakim245@gmail.com</t>
  </si>
  <si>
    <t>7401072108060001</t>
  </si>
  <si>
    <t xml:space="preserve">LING. II MATABALE </t>
  </si>
  <si>
    <t>7401012202990004</t>
  </si>
  <si>
    <t xml:space="preserve">SMAN 1 WUNDULAKO </t>
  </si>
  <si>
    <t xml:space="preserve">pebrian.baedo@gmail.com </t>
  </si>
  <si>
    <t xml:space="preserve">JL. KAKATUA NO.21 </t>
  </si>
  <si>
    <t>7408022906010002</t>
  </si>
  <si>
    <t>PALU</t>
  </si>
  <si>
    <t xml:space="preserve">UNIVERSITAS DIPA MAKASSAR </t>
  </si>
  <si>
    <t>makram2906@gmail.com.</t>
  </si>
  <si>
    <t xml:space="preserve">GUNUNG JAYA </t>
  </si>
  <si>
    <t xml:space="preserve">SMKN 1 DANGIA </t>
  </si>
  <si>
    <t>resapnm1499@gmail.com</t>
  </si>
  <si>
    <t>7401090104990001</t>
  </si>
  <si>
    <t xml:space="preserve">JL. LATUMA </t>
  </si>
  <si>
    <t>7401011212070003</t>
  </si>
  <si>
    <t>muh.raihanputra12@gmail.com</t>
  </si>
  <si>
    <t xml:space="preserve">DUSUN I </t>
  </si>
  <si>
    <t xml:space="preserve">RAHA </t>
  </si>
  <si>
    <t>yusminnugroho@gmail.com</t>
  </si>
  <si>
    <t>7403150103980002</t>
  </si>
  <si>
    <t>aguswidodo.sp@gmail.com</t>
  </si>
  <si>
    <t>7401010509970002</t>
  </si>
  <si>
    <t xml:space="preserve">KAMPUNG PUNDATA </t>
  </si>
  <si>
    <t xml:space="preserve">PUNDATA BAJI </t>
  </si>
  <si>
    <t xml:space="preserve">LABAKKANG </t>
  </si>
  <si>
    <t xml:space="preserve">PANGKAJENE KEPULAUAN </t>
  </si>
  <si>
    <t>PUNDATA</t>
  </si>
  <si>
    <t>SMKS MUHAMMADIYAH BUNGORO</t>
  </si>
  <si>
    <t>mdongtmvn@gmail.com</t>
  </si>
  <si>
    <t>7310070405070005</t>
  </si>
  <si>
    <t>JL. POROS KOLAKA-POMALAA KM 10</t>
  </si>
  <si>
    <t xml:space="preserve">19 NOPEMBER </t>
  </si>
  <si>
    <t xml:space="preserve">AMBONIKI </t>
  </si>
  <si>
    <t xml:space="preserve">SMK 7 KOLAKA </t>
  </si>
  <si>
    <t>danibams43@gmail.com</t>
  </si>
  <si>
    <t>7402162303050002</t>
  </si>
  <si>
    <t xml:space="preserve">ardiansyahpell@gmail.com </t>
  </si>
  <si>
    <t>7401202909010001</t>
  </si>
  <si>
    <t xml:space="preserve">MAKASSAR </t>
  </si>
  <si>
    <t xml:space="preserve">SMA NEGERI 15 MAKASSAR </t>
  </si>
  <si>
    <t>iswantohsyam130520@gmail.com</t>
  </si>
  <si>
    <t>7371141305000002</t>
  </si>
  <si>
    <t xml:space="preserve">DUSUN III </t>
  </si>
  <si>
    <t xml:space="preserve">LAMASI </t>
  </si>
  <si>
    <t xml:space="preserve">SMKN 9 KOLAKA </t>
  </si>
  <si>
    <t>audriantogito@gmail.com</t>
  </si>
  <si>
    <t>7401072312020001</t>
  </si>
  <si>
    <t xml:space="preserve">WATULIANDU </t>
  </si>
  <si>
    <t xml:space="preserve">POHU </t>
  </si>
  <si>
    <t xml:space="preserve">SMAN 2 UNAHA </t>
  </si>
  <si>
    <t>SARIP160102@GMAIL.COM</t>
  </si>
  <si>
    <t>7408041601020001</t>
  </si>
  <si>
    <t>PERUMAHAN BUMI MEKONGGA BLOK A2</t>
  </si>
  <si>
    <t>7401040811050001</t>
  </si>
  <si>
    <t xml:space="preserve">SMAN 2 KENDARI </t>
  </si>
  <si>
    <t>fadhildzakwan2612@gmail.com</t>
  </si>
  <si>
    <t>7471042005020001</t>
  </si>
  <si>
    <t>7401120806040001</t>
  </si>
  <si>
    <t xml:space="preserve">PUUNDOHO </t>
  </si>
  <si>
    <t>andiaswan3312@gmail.com</t>
  </si>
  <si>
    <t>VISA25067</t>
  </si>
  <si>
    <t>C060322</t>
  </si>
  <si>
    <t>22/11/2026</t>
  </si>
  <si>
    <t>VISA25071</t>
  </si>
  <si>
    <t>C060328</t>
  </si>
  <si>
    <t>13/11/2026</t>
  </si>
  <si>
    <t>VISA25087</t>
  </si>
  <si>
    <t>C060330</t>
  </si>
  <si>
    <t>VISA25058</t>
  </si>
  <si>
    <t>C060314</t>
  </si>
  <si>
    <t>20/11/2026</t>
  </si>
  <si>
    <t>VISA25070</t>
  </si>
  <si>
    <t>C047584</t>
  </si>
  <si>
    <t>VISA25061</t>
  </si>
  <si>
    <t>C047203</t>
  </si>
  <si>
    <t>VISA25077</t>
  </si>
  <si>
    <t>C047131</t>
  </si>
  <si>
    <t>VISA25080</t>
  </si>
  <si>
    <t>C060347</t>
  </si>
  <si>
    <t>21/11/2026</t>
  </si>
  <si>
    <t>VISA25081</t>
  </si>
  <si>
    <t>C060348</t>
  </si>
  <si>
    <t>VISA25085</t>
  </si>
  <si>
    <t>C060352</t>
  </si>
  <si>
    <t>VISA25086</t>
  </si>
  <si>
    <t>C048074</t>
  </si>
  <si>
    <t>27/05/2026</t>
  </si>
  <si>
    <t>VISA25072</t>
  </si>
  <si>
    <t>C036525</t>
  </si>
  <si>
    <t>VISA25074</t>
  </si>
  <si>
    <t>C060711</t>
  </si>
  <si>
    <t>VISA25068</t>
  </si>
  <si>
    <t>C060855</t>
  </si>
  <si>
    <t>31/05/2026</t>
  </si>
  <si>
    <t>VISA25079</t>
  </si>
  <si>
    <t>C060720</t>
  </si>
  <si>
    <t>30/03/2026</t>
  </si>
  <si>
    <t>VISA25084</t>
  </si>
  <si>
    <t>C060727</t>
  </si>
  <si>
    <t>VISA25059</t>
  </si>
  <si>
    <t>C060678</t>
  </si>
  <si>
    <t>VISA25066</t>
  </si>
  <si>
    <t>C060695</t>
  </si>
  <si>
    <t>VISA25078</t>
  </si>
  <si>
    <t>C060861</t>
  </si>
  <si>
    <t>30/04/2026</t>
  </si>
  <si>
    <t>VISA25082</t>
  </si>
  <si>
    <t>C060723</t>
  </si>
  <si>
    <t>VISA25062</t>
  </si>
  <si>
    <t>C060687</t>
  </si>
  <si>
    <t>VISA25069</t>
  </si>
  <si>
    <t>C060698</t>
  </si>
  <si>
    <t>30/05/2026</t>
  </si>
  <si>
    <t>VISA25075</t>
  </si>
  <si>
    <t>C060340</t>
  </si>
  <si>
    <t>C060327</t>
  </si>
  <si>
    <t>VISA25064</t>
  </si>
  <si>
    <t>C060326</t>
  </si>
  <si>
    <t>VISA25076</t>
  </si>
  <si>
    <t>C060341</t>
  </si>
  <si>
    <t>VISA25073</t>
  </si>
  <si>
    <t>C060338</t>
  </si>
  <si>
    <t>VISA25057</t>
  </si>
  <si>
    <t>C060313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</si>
</sst>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[$-409]d\-mmm\-yy;@"/>
    <numFmt numFmtId="166" formatCode="\'@"/>
  </numFmts>
  <fonts count="17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charset val="1"/>
      <scheme val="minor"/>
    </font>
    <font>
      <sz val="10"/>
      <name val="Aptos Display"/>
      <family val="2"/>
      <scheme val="major"/>
    </font>
    <font>
      <sz val="11"/>
      <name val="Aptos Narrow"/>
      <family val="2"/>
      <scheme val="minor"/>
    </font>
    <font>
      <sz val="8"/>
      <name val="Aptos Narrow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7" fillId="0" borderId="0"/>
    <xf numFmtId="0" fontId="8" fillId="0" borderId="0"/>
    <xf numFmtId="0" fontId="11" fillId="0" borderId="0" applyNumberFormat="0" applyFill="0" applyBorder="0" applyAlignment="0" applyProtection="0"/>
    <xf numFmtId="0" fontId="6" fillId="0" borderId="0"/>
    <xf numFmtId="0" fontId="6" fillId="0" borderId="0"/>
    <xf numFmtId="0" fontId="16" fillId="0" borderId="0"/>
  </cellStyleXfs>
  <cellXfs count="57">
    <xf numFmtId="0" fontId="0" fillId="0" borderId="0" xfId="0"/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3" borderId="1" xfId="4" applyFont="1" applyFill="1" applyBorder="1" applyAlignment="1">
      <alignment horizontal="center" vertical="center"/>
    </xf>
    <xf numFmtId="0" fontId="0" fillId="0" borderId="1" xfId="0" applyBorder="1"/>
    <xf numFmtId="0" fontId="13" fillId="3" borderId="1" xfId="4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13" fillId="3" borderId="1" xfId="4" applyNumberFormat="1" applyFont="1" applyFill="1" applyBorder="1" applyAlignment="1">
      <alignment horizontal="center" vertical="top"/>
    </xf>
    <xf numFmtId="1" fontId="0" fillId="0" borderId="1" xfId="0" applyNumberFormat="1" applyBorder="1" applyAlignment="1">
      <alignment horizontal="center"/>
    </xf>
    <xf numFmtId="165" fontId="13" fillId="3" borderId="1" xfId="5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3" fillId="3" borderId="4" xfId="4" quotePrefix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12" fillId="2" borderId="1" xfId="1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5" fontId="13" fillId="3" borderId="4" xfId="4" applyNumberFormat="1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49" fontId="16" fillId="3" borderId="1" xfId="6" quotePrefix="1" applyNumberFormat="1" applyFill="1" applyBorder="1" applyAlignment="1">
      <alignment horizontal="center" vertical="center"/>
    </xf>
    <xf numFmtId="49" fontId="16" fillId="3" borderId="1" xfId="6" applyNumberForma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1" fillId="4" borderId="5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left" vertical="center"/>
    </xf>
    <xf numFmtId="0" fontId="13" fillId="3" borderId="1" xfId="4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13" fillId="3" borderId="3" xfId="4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5" fillId="3" borderId="2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11" fillId="0" borderId="1" xfId="3" applyBorder="1" applyAlignment="1" applyProtection="1">
      <alignment horizontal="left" vertical="center"/>
    </xf>
    <xf numFmtId="0" fontId="11" fillId="3" borderId="1" xfId="3" quotePrefix="1" applyFill="1" applyBorder="1" applyAlignment="1" applyProtection="1">
      <alignment horizontal="left" vertical="center"/>
    </xf>
    <xf numFmtId="0" fontId="13" fillId="3" borderId="1" xfId="4" quotePrefix="1" applyFont="1" applyFill="1" applyBorder="1" applyAlignment="1">
      <alignment horizontal="left" vertical="center"/>
    </xf>
    <xf numFmtId="0" fontId="11" fillId="0" borderId="1" xfId="3" applyBorder="1" applyAlignment="1">
      <alignment horizontal="left"/>
    </xf>
  </cellXfs>
  <cellStyles count="7">
    <cellStyle name="Hyperlink" xfId="3" builtinId="8"/>
    <cellStyle name="Normal" xfId="0" builtinId="0"/>
    <cellStyle name="Normal 13" xfId="4" xr:uid="{C3CCAD4A-54C5-45A5-AB93-8344A6E545AE}"/>
    <cellStyle name="Normal 2" xfId="6" xr:uid="{091B503F-4146-49D0-98D6-717B4BCD3C80}"/>
    <cellStyle name="Normal 3" xfId="2" xr:uid="{5A3AA8C5-0EE3-45BA-9560-F24C86538176}"/>
    <cellStyle name="Normal 4 2" xfId="5" xr:uid="{2331E5FE-BEB0-4C2C-B9C1-A2E416CD90B1}"/>
    <cellStyle name="Normal_Manpower" xfId="1" xr:uid="{FE35BFD2-E3F3-4ECE-B4BA-8EB61E8C7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258536</xdr:colOff>
      <xdr:row>1</xdr:row>
      <xdr:rowOff>0</xdr:rowOff>
    </xdr:from>
    <xdr:ext cx="184731" cy="4837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38C785-A597-4A9F-AB8E-A6AB067C8FCE}"/>
            </a:ext>
          </a:extLst>
        </xdr:cNvPr>
        <xdr:cNvSpPr txBox="1"/>
      </xdr:nvSpPr>
      <xdr:spPr>
        <a:xfrm>
          <a:off x="1044349" y="3619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</xdr:row>
      <xdr:rowOff>0</xdr:rowOff>
    </xdr:from>
    <xdr:ext cx="184731" cy="48372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1A50F6-04A6-41B8-86D8-36B074C7C004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</xdr:row>
      <xdr:rowOff>0</xdr:rowOff>
    </xdr:from>
    <xdr:ext cx="184731" cy="48372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961083-04FA-416B-922B-13757A561098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4</xdr:row>
      <xdr:rowOff>0</xdr:rowOff>
    </xdr:from>
    <xdr:ext cx="184731" cy="48372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4EAA061-2144-4F7C-B1C4-F46B9826673B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5</xdr:row>
      <xdr:rowOff>0</xdr:rowOff>
    </xdr:from>
    <xdr:ext cx="184731" cy="48372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3FF305-372A-4EC4-A6FC-C36F960B9FE9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6</xdr:row>
      <xdr:rowOff>0</xdr:rowOff>
    </xdr:from>
    <xdr:ext cx="184731" cy="48372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36472E-80F7-4450-BEE6-659EE605C0C4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7</xdr:row>
      <xdr:rowOff>0</xdr:rowOff>
    </xdr:from>
    <xdr:ext cx="184731" cy="48372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2EF8C7-48B9-4005-B44D-FFB62E8F3D4D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8</xdr:row>
      <xdr:rowOff>0</xdr:rowOff>
    </xdr:from>
    <xdr:ext cx="184731" cy="48372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2B5C84E-6640-4A37-B7E0-8D7B376C49E6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9</xdr:row>
      <xdr:rowOff>0</xdr:rowOff>
    </xdr:from>
    <xdr:ext cx="184731" cy="48372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CD57B6-3D0D-463C-836C-0A945A51EA2B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10</xdr:row>
      <xdr:rowOff>0</xdr:rowOff>
    </xdr:from>
    <xdr:ext cx="184731" cy="48372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A906E4-240C-4CA9-BBBD-85E67CE0809B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11</xdr:row>
      <xdr:rowOff>0</xdr:rowOff>
    </xdr:from>
    <xdr:ext cx="184731" cy="48372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634F0D-F512-4E8D-A227-489233797A3F}"/>
            </a:ext>
          </a:extLst>
        </xdr:cNvPr>
        <xdr:cNvSpPr txBox="1"/>
      </xdr:nvSpPr>
      <xdr:spPr>
        <a:xfrm>
          <a:off x="2074636" y="18415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12</xdr:row>
      <xdr:rowOff>0</xdr:rowOff>
    </xdr:from>
    <xdr:ext cx="184731" cy="48372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236EFB-291A-4E80-92AC-794658E529B8}"/>
            </a:ext>
          </a:extLst>
        </xdr:cNvPr>
        <xdr:cNvSpPr txBox="1"/>
      </xdr:nvSpPr>
      <xdr:spPr>
        <a:xfrm>
          <a:off x="2077725" y="198223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13</xdr:row>
      <xdr:rowOff>0</xdr:rowOff>
    </xdr:from>
    <xdr:ext cx="184731" cy="48372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750167-E0D1-4CF3-9D57-62E95A866F0F}"/>
            </a:ext>
          </a:extLst>
        </xdr:cNvPr>
        <xdr:cNvSpPr txBox="1"/>
      </xdr:nvSpPr>
      <xdr:spPr>
        <a:xfrm>
          <a:off x="2077725" y="198223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14</xdr:row>
      <xdr:rowOff>0</xdr:rowOff>
    </xdr:from>
    <xdr:ext cx="184731" cy="48372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1FA94DE-EE70-4DA0-AC8B-62EB3EDF2E95}"/>
            </a:ext>
          </a:extLst>
        </xdr:cNvPr>
        <xdr:cNvSpPr txBox="1"/>
      </xdr:nvSpPr>
      <xdr:spPr>
        <a:xfrm>
          <a:off x="2077725" y="198223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15</xdr:row>
      <xdr:rowOff>0</xdr:rowOff>
    </xdr:from>
    <xdr:ext cx="184731" cy="48372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593FCA7-A316-47E0-8008-A569B8B90B43}"/>
            </a:ext>
          </a:extLst>
        </xdr:cNvPr>
        <xdr:cNvSpPr txBox="1"/>
      </xdr:nvSpPr>
      <xdr:spPr>
        <a:xfrm>
          <a:off x="2077725" y="198223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16</xdr:row>
      <xdr:rowOff>0</xdr:rowOff>
    </xdr:from>
    <xdr:ext cx="184731" cy="48372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562C5D-52F6-479B-BD39-F2D1C162666F}"/>
            </a:ext>
          </a:extLst>
        </xdr:cNvPr>
        <xdr:cNvSpPr txBox="1"/>
      </xdr:nvSpPr>
      <xdr:spPr>
        <a:xfrm>
          <a:off x="2077725" y="1982230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13</xdr:row>
      <xdr:rowOff>0</xdr:rowOff>
    </xdr:from>
    <xdr:ext cx="184731" cy="48372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F44525D-5105-4669-8498-602282D0A9B1}"/>
            </a:ext>
          </a:extLst>
        </xdr:cNvPr>
        <xdr:cNvSpPr txBox="1"/>
      </xdr:nvSpPr>
      <xdr:spPr>
        <a:xfrm>
          <a:off x="2077725" y="2162432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14</xdr:row>
      <xdr:rowOff>0</xdr:rowOff>
    </xdr:from>
    <xdr:ext cx="184731" cy="48372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F6BFC9C-BBA7-4672-BA1F-BCDE4C770E59}"/>
            </a:ext>
          </a:extLst>
        </xdr:cNvPr>
        <xdr:cNvSpPr txBox="1"/>
      </xdr:nvSpPr>
      <xdr:spPr>
        <a:xfrm>
          <a:off x="2077725" y="2162432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15</xdr:row>
      <xdr:rowOff>0</xdr:rowOff>
    </xdr:from>
    <xdr:ext cx="184731" cy="48372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5D03FEA-B464-4DDF-87EC-E54C37A175CA}"/>
            </a:ext>
          </a:extLst>
        </xdr:cNvPr>
        <xdr:cNvSpPr txBox="1"/>
      </xdr:nvSpPr>
      <xdr:spPr>
        <a:xfrm>
          <a:off x="2077725" y="2162432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16</xdr:row>
      <xdr:rowOff>0</xdr:rowOff>
    </xdr:from>
    <xdr:ext cx="184731" cy="483722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21F96B9-A06F-4BD8-B5B2-C8CADAD2C066}"/>
            </a:ext>
          </a:extLst>
        </xdr:cNvPr>
        <xdr:cNvSpPr txBox="1"/>
      </xdr:nvSpPr>
      <xdr:spPr>
        <a:xfrm>
          <a:off x="2077725" y="2162432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17</xdr:row>
      <xdr:rowOff>0</xdr:rowOff>
    </xdr:from>
    <xdr:ext cx="184731" cy="48372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5A04F76-B244-4404-9430-FD65A8EC70DA}"/>
            </a:ext>
          </a:extLst>
        </xdr:cNvPr>
        <xdr:cNvSpPr txBox="1"/>
      </xdr:nvSpPr>
      <xdr:spPr>
        <a:xfrm>
          <a:off x="2077725" y="2883243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17</xdr:row>
      <xdr:rowOff>0</xdr:rowOff>
    </xdr:from>
    <xdr:ext cx="184731" cy="48372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F27DD62-F4DE-466C-9CE0-C4E1152651C8}"/>
            </a:ext>
          </a:extLst>
        </xdr:cNvPr>
        <xdr:cNvSpPr txBox="1"/>
      </xdr:nvSpPr>
      <xdr:spPr>
        <a:xfrm>
          <a:off x="2077725" y="2883243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18</xdr:row>
      <xdr:rowOff>0</xdr:rowOff>
    </xdr:from>
    <xdr:ext cx="184731" cy="48372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1CC9172-C44B-4D51-B98B-0734D77E9FB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18</xdr:row>
      <xdr:rowOff>0</xdr:rowOff>
    </xdr:from>
    <xdr:ext cx="184731" cy="48372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A3CDDA6-0198-47B6-88A8-DA7BE4480740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19</xdr:row>
      <xdr:rowOff>0</xdr:rowOff>
    </xdr:from>
    <xdr:ext cx="184731" cy="48372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AC0DA41-E3E2-4795-95A4-1E2A57812886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19</xdr:row>
      <xdr:rowOff>0</xdr:rowOff>
    </xdr:from>
    <xdr:ext cx="184731" cy="48372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E1B35C4-91EB-4ED5-BDFC-4CF1270EA0BE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20</xdr:row>
      <xdr:rowOff>0</xdr:rowOff>
    </xdr:from>
    <xdr:ext cx="184731" cy="48372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883B718-D7BD-400D-BE6F-739CCB6050AA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20</xdr:row>
      <xdr:rowOff>0</xdr:rowOff>
    </xdr:from>
    <xdr:ext cx="184731" cy="48372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C9F3B30-C078-41B0-9293-8029704A630A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21</xdr:row>
      <xdr:rowOff>0</xdr:rowOff>
    </xdr:from>
    <xdr:ext cx="184731" cy="48372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B2182F9-25DD-4E55-A660-6427E9F77379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21</xdr:row>
      <xdr:rowOff>0</xdr:rowOff>
    </xdr:from>
    <xdr:ext cx="184731" cy="48372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0D456D-6C55-43AD-AFBD-F57C8F76EED4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22</xdr:row>
      <xdr:rowOff>0</xdr:rowOff>
    </xdr:from>
    <xdr:ext cx="184731" cy="48372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E34C13E-EDC2-4263-ABCC-2EC9F412C255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22</xdr:row>
      <xdr:rowOff>0</xdr:rowOff>
    </xdr:from>
    <xdr:ext cx="184731" cy="48372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A027B58-FFFA-44BB-A74E-C97C05192F37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23</xdr:row>
      <xdr:rowOff>0</xdr:rowOff>
    </xdr:from>
    <xdr:ext cx="184731" cy="48372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D92C41-D733-4212-8DA2-3CAC122AC3F2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23</xdr:row>
      <xdr:rowOff>0</xdr:rowOff>
    </xdr:from>
    <xdr:ext cx="184731" cy="48372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74BE3DE-5DDE-4E56-B95D-3C516C9FD8B0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24</xdr:row>
      <xdr:rowOff>0</xdr:rowOff>
    </xdr:from>
    <xdr:ext cx="184731" cy="48372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2F4DFC0-36F7-41EE-B738-2CE8D53DCB89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24</xdr:row>
      <xdr:rowOff>0</xdr:rowOff>
    </xdr:from>
    <xdr:ext cx="184731" cy="48372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7729A07-F1EA-40AE-967A-0F0D6FD4FED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25</xdr:row>
      <xdr:rowOff>0</xdr:rowOff>
    </xdr:from>
    <xdr:ext cx="184731" cy="48372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1305F9F-21CF-4827-80A0-579603FDDCBE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25</xdr:row>
      <xdr:rowOff>0</xdr:rowOff>
    </xdr:from>
    <xdr:ext cx="184731" cy="48372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927C9F3-90B3-4D3F-A90A-834AE60A3AE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26</xdr:row>
      <xdr:rowOff>0</xdr:rowOff>
    </xdr:from>
    <xdr:ext cx="184731" cy="48372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54A5B32-37E3-4FCC-9495-CFDD357D25DF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26</xdr:row>
      <xdr:rowOff>0</xdr:rowOff>
    </xdr:from>
    <xdr:ext cx="184731" cy="48372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D6CBD06-B052-4D15-BBC1-1DFC2CDAB426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27</xdr:row>
      <xdr:rowOff>0</xdr:rowOff>
    </xdr:from>
    <xdr:ext cx="184731" cy="48372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1DDC27A-8BBB-4A8F-8C14-4D6F6FB1971B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27</xdr:row>
      <xdr:rowOff>0</xdr:rowOff>
    </xdr:from>
    <xdr:ext cx="184731" cy="48372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82E3D76-A4D0-47F2-B3BE-A9548155FA8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28</xdr:row>
      <xdr:rowOff>0</xdr:rowOff>
    </xdr:from>
    <xdr:ext cx="184731" cy="48372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79B5BBD-0A49-4641-A6B1-9D1FF6D7DB9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28</xdr:row>
      <xdr:rowOff>0</xdr:rowOff>
    </xdr:from>
    <xdr:ext cx="184731" cy="48372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34A7EF0-61DB-4E7D-B361-9A5404A56058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29</xdr:row>
      <xdr:rowOff>0</xdr:rowOff>
    </xdr:from>
    <xdr:ext cx="184731" cy="48372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D3F7C46-C44E-48B5-A63F-588E9A17CDC5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29</xdr:row>
      <xdr:rowOff>0</xdr:rowOff>
    </xdr:from>
    <xdr:ext cx="184731" cy="48372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7F428CF-10F5-42C8-B9DD-323315E89005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30</xdr:row>
      <xdr:rowOff>0</xdr:rowOff>
    </xdr:from>
    <xdr:ext cx="184731" cy="48372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F6276E4-F524-4B01-B210-9CDE463FFD04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30</xdr:row>
      <xdr:rowOff>0</xdr:rowOff>
    </xdr:from>
    <xdr:ext cx="184731" cy="48372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65CD70B-C7B3-4909-9DDD-290785F8B033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31</xdr:row>
      <xdr:rowOff>0</xdr:rowOff>
    </xdr:from>
    <xdr:ext cx="184731" cy="48372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0567E74-EC12-47CD-85C9-FAC020ECFE90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31</xdr:row>
      <xdr:rowOff>0</xdr:rowOff>
    </xdr:from>
    <xdr:ext cx="184731" cy="48372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43D0BB5-2C85-495F-8059-21A46B960E3B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32</xdr:row>
      <xdr:rowOff>0</xdr:rowOff>
    </xdr:from>
    <xdr:ext cx="184731" cy="48372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87D1219-58EB-4512-9402-1A73DEE12ACB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32</xdr:row>
      <xdr:rowOff>0</xdr:rowOff>
    </xdr:from>
    <xdr:ext cx="184731" cy="48372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A2D472F-4B64-4597-89D9-43A2D2C5BF61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33</xdr:row>
      <xdr:rowOff>0</xdr:rowOff>
    </xdr:from>
    <xdr:ext cx="184731" cy="48372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00231FC-454C-4973-9A5C-B420EF9282C5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258536</xdr:colOff>
      <xdr:row>33</xdr:row>
      <xdr:rowOff>0</xdr:rowOff>
    </xdr:from>
    <xdr:ext cx="184731" cy="48372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14C2748-666B-47A5-B944-46E9FE8C0039}"/>
            </a:ext>
          </a:extLst>
        </xdr:cNvPr>
        <xdr:cNvSpPr txBox="1"/>
      </xdr:nvSpPr>
      <xdr:spPr>
        <a:xfrm>
          <a:off x="2077725" y="3063446"/>
          <a:ext cx="184731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500" b="1">
            <a:solidFill>
              <a:sysClr val="windowText" lastClr="00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gwti304@gmail.com" TargetMode="External"/><Relationship Id="rId18" Type="http://schemas.openxmlformats.org/officeDocument/2006/relationships/hyperlink" Target="mailto:rendipriawan1907@gmail.com" TargetMode="External"/><Relationship Id="rId26" Type="http://schemas.openxmlformats.org/officeDocument/2006/relationships/hyperlink" Target="mailto:andiichlasanuggrah@gmail.com" TargetMode="External"/><Relationship Id="rId3" Type="http://schemas.openxmlformats.org/officeDocument/2006/relationships/hyperlink" Target="mailto:richardyudhie43@gmail.com" TargetMode="External"/><Relationship Id="rId21" Type="http://schemas.openxmlformats.org/officeDocument/2006/relationships/hyperlink" Target="mailto:sukrihamsend@gmail.com" TargetMode="External"/><Relationship Id="rId7" Type="http://schemas.openxmlformats.org/officeDocument/2006/relationships/hyperlink" Target="mailto:ariswan2719@gmail.com" TargetMode="External"/><Relationship Id="rId12" Type="http://schemas.openxmlformats.org/officeDocument/2006/relationships/hyperlink" Target="mailto:malifsyan@gmail.com" TargetMode="External"/><Relationship Id="rId17" Type="http://schemas.openxmlformats.org/officeDocument/2006/relationships/hyperlink" Target="mailto:aldikolaka22@gmail.com" TargetMode="External"/><Relationship Id="rId25" Type="http://schemas.openxmlformats.org/officeDocument/2006/relationships/hyperlink" Target="mailto:aaccaan22@gmail.com%20" TargetMode="External"/><Relationship Id="rId33" Type="http://schemas.openxmlformats.org/officeDocument/2006/relationships/comments" Target="../comments1.xml"/><Relationship Id="rId2" Type="http://schemas.openxmlformats.org/officeDocument/2006/relationships/hyperlink" Target="mailto:hseadhi.gudang@gmail.com" TargetMode="External"/><Relationship Id="rId16" Type="http://schemas.openxmlformats.org/officeDocument/2006/relationships/hyperlink" Target="mailto:ethonk7@gmail.com" TargetMode="External"/><Relationship Id="rId20" Type="http://schemas.openxmlformats.org/officeDocument/2006/relationships/hyperlink" Target="mailto:sukrhy91@gmail.com" TargetMode="External"/><Relationship Id="rId29" Type="http://schemas.openxmlformats.org/officeDocument/2006/relationships/hyperlink" Target="mailto:ardiansyahpell@gmail.com%20" TargetMode="External"/><Relationship Id="rId1" Type="http://schemas.openxmlformats.org/officeDocument/2006/relationships/hyperlink" Target="mailto:ahmad.razak801@gmail.com" TargetMode="External"/><Relationship Id="rId6" Type="http://schemas.openxmlformats.org/officeDocument/2006/relationships/hyperlink" Target="mailto:yusnapaat24@gmail.com" TargetMode="External"/><Relationship Id="rId11" Type="http://schemas.openxmlformats.org/officeDocument/2006/relationships/hyperlink" Target="mailto:muhfaidilafandi47@gmail.com" TargetMode="External"/><Relationship Id="rId24" Type="http://schemas.openxmlformats.org/officeDocument/2006/relationships/hyperlink" Target="mailto:ariantoasdar626@gmail.com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mailto:yusran.tonggoni@gmail.com" TargetMode="External"/><Relationship Id="rId15" Type="http://schemas.openxmlformats.org/officeDocument/2006/relationships/hyperlink" Target="mailto:raditsaputraklk175@gmail.com" TargetMode="External"/><Relationship Id="rId23" Type="http://schemas.openxmlformats.org/officeDocument/2006/relationships/hyperlink" Target="mailto:Windasatria02@gmail.com" TargetMode="External"/><Relationship Id="rId28" Type="http://schemas.openxmlformats.org/officeDocument/2006/relationships/hyperlink" Target="mailto:pebrian.baedo@gmail.com%20" TargetMode="External"/><Relationship Id="rId10" Type="http://schemas.openxmlformats.org/officeDocument/2006/relationships/hyperlink" Target="mailto:iswarwtp@gmail.com" TargetMode="External"/><Relationship Id="rId19" Type="http://schemas.openxmlformats.org/officeDocument/2006/relationships/hyperlink" Target="mailto:ryoaldi8@gmail.com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mailto:nakalady48@gmail.com" TargetMode="External"/><Relationship Id="rId9" Type="http://schemas.openxmlformats.org/officeDocument/2006/relationships/hyperlink" Target="mailto:hilmanyayang2@gmail.com" TargetMode="External"/><Relationship Id="rId14" Type="http://schemas.openxmlformats.org/officeDocument/2006/relationships/hyperlink" Target="mailto:edhis355@gmail.com" TargetMode="External"/><Relationship Id="rId22" Type="http://schemas.openxmlformats.org/officeDocument/2006/relationships/hyperlink" Target="mailto:tazriltafakkur3@gmail.com" TargetMode="External"/><Relationship Id="rId27" Type="http://schemas.openxmlformats.org/officeDocument/2006/relationships/hyperlink" Target="mailto:muhammadakim245@gmail.com" TargetMode="External"/><Relationship Id="rId30" Type="http://schemas.openxmlformats.org/officeDocument/2006/relationships/printerSettings" Target="../printerSettings/printerSettings1.bin"/><Relationship Id="rId8" Type="http://schemas.openxmlformats.org/officeDocument/2006/relationships/hyperlink" Target="mailto:sh96941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33DA-80B3-4680-9F77-871FBB47E6D3}">
  <dimension ref="A2:AG93"/>
  <sheetViews>
    <sheetView tabSelected="1" zoomScaleNormal="100" workbookViewId="0">
      <selection activeCell="F2" sqref="F2"/>
    </sheetView>
  </sheetViews>
  <sheetFormatPr defaultRowHeight="15" x14ac:dyDescent="0.25"/>
  <cols>
    <col min="1" max="1" width="2.85546875" bestFit="1" customWidth="1"/>
    <col min="2" max="2" width="23.140625" customWidth="1"/>
    <col min="3" max="3" width="11.5703125" customWidth="1"/>
    <col min="4" max="4" width="37.140625" style="41" customWidth="1"/>
    <col min="5" max="5" width="43.140625" style="41" customWidth="1"/>
    <col min="6" max="6" width="20.7109375" style="41" bestFit="1" customWidth="1"/>
    <col min="9" max="9" width="20.140625" customWidth="1"/>
    <col min="10" max="11" width="36.28515625" style="41" bestFit="1" customWidth="1"/>
    <col min="12" max="13" width="15" style="41" customWidth="1"/>
    <col min="14" max="14" width="21.140625" style="41" customWidth="1"/>
    <col min="15" max="15" width="20.42578125" style="41" customWidth="1"/>
    <col min="16" max="16" width="15" customWidth="1"/>
    <col min="17" max="17" width="20.7109375" customWidth="1"/>
    <col min="18" max="18" width="16.5703125" customWidth="1"/>
    <col min="19" max="19" width="14.5703125" customWidth="1"/>
    <col min="20" max="20" width="16.85546875" customWidth="1"/>
    <col min="21" max="22" width="18.5703125" customWidth="1"/>
    <col min="23" max="23" width="18.42578125" customWidth="1"/>
    <col min="24" max="24" width="20.85546875" customWidth="1"/>
    <col min="25" max="25" width="22.5703125" customWidth="1"/>
    <col min="26" max="26" width="15" bestFit="1" customWidth="1"/>
    <col min="27" max="27" width="54.42578125" style="41" customWidth="1"/>
    <col min="28" max="28" width="18.140625" customWidth="1"/>
    <col min="29" max="29" width="20.85546875" style="41" customWidth="1"/>
    <col min="30" max="30" width="26.140625" style="41" customWidth="1"/>
    <col min="31" max="31" width="31.85546875" style="41" customWidth="1"/>
    <col min="32" max="32" width="17.85546875" customWidth="1"/>
    <col min="33" max="33" width="16.42578125" bestFit="1" customWidth="1"/>
    <col min="34" max="34" width="28" customWidth="1"/>
  </cols>
  <sheetData>
    <row r="2" spans="1:33" x14ac:dyDescent="0.25">
      <c r="A2" s="1" t="s">
        <v>0</v>
      </c>
      <c r="B2" s="1" t="s">
        <v>35</v>
      </c>
      <c r="C2" s="1" t="s">
        <v>1</v>
      </c>
      <c r="D2" s="34" t="s">
        <v>2</v>
      </c>
      <c r="E2" s="34" t="s">
        <v>3</v>
      </c>
      <c r="F2" s="34" t="s">
        <v>33</v>
      </c>
      <c r="G2" s="1" t="s">
        <v>4</v>
      </c>
      <c r="H2" s="1" t="s">
        <v>5</v>
      </c>
      <c r="I2" s="1" t="s">
        <v>6</v>
      </c>
      <c r="J2" s="34" t="s">
        <v>7</v>
      </c>
      <c r="K2" s="34" t="s">
        <v>8</v>
      </c>
      <c r="L2" s="34" t="s">
        <v>28</v>
      </c>
      <c r="M2" s="34" t="s">
        <v>29</v>
      </c>
      <c r="N2" s="34" t="s">
        <v>30</v>
      </c>
      <c r="O2" s="34" t="s">
        <v>31</v>
      </c>
      <c r="P2" s="1" t="s">
        <v>34</v>
      </c>
      <c r="Q2" s="1" t="s">
        <v>9</v>
      </c>
      <c r="R2" s="2" t="s">
        <v>10</v>
      </c>
      <c r="S2" s="1" t="s">
        <v>11</v>
      </c>
      <c r="T2" s="1" t="s">
        <v>12</v>
      </c>
      <c r="U2" s="1" t="s">
        <v>13</v>
      </c>
      <c r="V2" s="18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34" t="s">
        <v>19</v>
      </c>
      <c r="AB2" s="1" t="s">
        <v>26</v>
      </c>
      <c r="AC2" s="34" t="s">
        <v>20</v>
      </c>
      <c r="AD2" s="34" t="s">
        <v>21</v>
      </c>
      <c r="AE2" s="34" t="s">
        <v>22</v>
      </c>
      <c r="AF2" s="3" t="s">
        <v>25</v>
      </c>
      <c r="AG2" s="1" t="s">
        <v>27</v>
      </c>
    </row>
    <row r="3" spans="1:33" x14ac:dyDescent="0.25">
      <c r="A3" s="6">
        <v>1</v>
      </c>
      <c r="B3" s="4" t="s">
        <v>36</v>
      </c>
      <c r="C3" s="4" t="s">
        <v>176</v>
      </c>
      <c r="D3" s="35" t="s">
        <v>101</v>
      </c>
      <c r="E3" s="35" t="s">
        <v>112</v>
      </c>
      <c r="F3" s="35" t="s">
        <v>37</v>
      </c>
      <c r="G3" s="6"/>
      <c r="H3" s="4" t="s">
        <v>165</v>
      </c>
      <c r="I3" s="7" t="s">
        <v>38</v>
      </c>
      <c r="J3" s="35" t="s">
        <v>130</v>
      </c>
      <c r="K3" s="35" t="s">
        <v>130</v>
      </c>
      <c r="L3" s="35" t="s">
        <v>100</v>
      </c>
      <c r="M3" s="38" t="s">
        <v>155</v>
      </c>
      <c r="N3" s="48" t="s">
        <v>149</v>
      </c>
      <c r="O3" s="48" t="s">
        <v>150</v>
      </c>
      <c r="P3" s="4" t="s">
        <v>32</v>
      </c>
      <c r="Q3" s="7" t="s">
        <v>51</v>
      </c>
      <c r="R3" s="4" t="s">
        <v>23</v>
      </c>
      <c r="S3" s="4" t="s">
        <v>63</v>
      </c>
      <c r="T3" s="8" t="s">
        <v>24</v>
      </c>
      <c r="U3" s="8" t="s">
        <v>139</v>
      </c>
      <c r="V3" s="9">
        <v>27890</v>
      </c>
      <c r="W3" s="10" t="str">
        <f t="shared" ref="W3:W20" ca="1" si="0">DATEDIF(V3,TODAY(),"Y")&amp;" TAHUN "&amp;DATEDIF(V3,TODAY(),"YM")&amp;" BULAN"</f>
        <v>49 TAHUN 10 BULAN</v>
      </c>
      <c r="X3" s="11">
        <v>45791</v>
      </c>
      <c r="Y3" s="10" t="str">
        <f t="shared" ref="Y3:Y12" ca="1" si="1">DATEDIF(X3,TODAY(),"Y")&amp;" TAHUN "&amp;DATEDIF(X3,TODAY(),"YM")&amp;" BULAN"</f>
        <v>0 TAHUN 10 BULAN</v>
      </c>
      <c r="Z3" s="5" t="s">
        <v>67</v>
      </c>
      <c r="AA3" s="48" t="s">
        <v>166</v>
      </c>
      <c r="AB3" s="4" t="s">
        <v>129</v>
      </c>
      <c r="AC3" s="38" t="s">
        <v>118</v>
      </c>
      <c r="AD3" s="38" t="s">
        <v>69</v>
      </c>
      <c r="AE3" s="53" t="s">
        <v>75</v>
      </c>
      <c r="AF3" s="8" t="s">
        <v>86</v>
      </c>
      <c r="AG3" s="13">
        <v>46127</v>
      </c>
    </row>
    <row r="4" spans="1:33" x14ac:dyDescent="0.25">
      <c r="A4" s="6">
        <f>A3+1</f>
        <v>2</v>
      </c>
      <c r="B4" s="4" t="s">
        <v>36</v>
      </c>
      <c r="C4" s="4" t="s">
        <v>177</v>
      </c>
      <c r="D4" s="35" t="s">
        <v>102</v>
      </c>
      <c r="E4" s="35" t="s">
        <v>113</v>
      </c>
      <c r="F4" s="35" t="s">
        <v>37</v>
      </c>
      <c r="G4" s="6"/>
      <c r="H4" s="4" t="s">
        <v>165</v>
      </c>
      <c r="I4" s="7" t="s">
        <v>39</v>
      </c>
      <c r="J4" s="35" t="s">
        <v>98</v>
      </c>
      <c r="K4" s="35" t="s">
        <v>100</v>
      </c>
      <c r="L4" s="48" t="s">
        <v>159</v>
      </c>
      <c r="M4" s="38" t="s">
        <v>156</v>
      </c>
      <c r="N4" s="48" t="s">
        <v>152</v>
      </c>
      <c r="O4" s="48" t="s">
        <v>151</v>
      </c>
      <c r="P4" s="4" t="s">
        <v>50</v>
      </c>
      <c r="Q4" s="7" t="s">
        <v>52</v>
      </c>
      <c r="R4" s="4" t="s">
        <v>23</v>
      </c>
      <c r="S4" s="4" t="s">
        <v>64</v>
      </c>
      <c r="T4" s="8" t="s">
        <v>24</v>
      </c>
      <c r="U4" s="8" t="s">
        <v>140</v>
      </c>
      <c r="V4" s="9">
        <v>32491</v>
      </c>
      <c r="W4" s="10" t="str">
        <f t="shared" ca="1" si="0"/>
        <v>37 TAHUN 3 BULAN</v>
      </c>
      <c r="X4" s="11">
        <v>45791</v>
      </c>
      <c r="Y4" s="10" t="str">
        <f t="shared" ca="1" si="1"/>
        <v>0 TAHUN 10 BULAN</v>
      </c>
      <c r="Z4" s="5" t="s">
        <v>68</v>
      </c>
      <c r="AA4" s="48" t="s">
        <v>167</v>
      </c>
      <c r="AB4" s="4" t="s">
        <v>129</v>
      </c>
      <c r="AC4" s="38" t="s">
        <v>119</v>
      </c>
      <c r="AD4" s="38" t="s">
        <v>70</v>
      </c>
      <c r="AE4" s="54" t="s">
        <v>76</v>
      </c>
      <c r="AF4" s="8" t="s">
        <v>87</v>
      </c>
      <c r="AG4" s="13">
        <v>46156</v>
      </c>
    </row>
    <row r="5" spans="1:33" x14ac:dyDescent="0.25">
      <c r="A5" s="6">
        <f t="shared" ref="A5:A18" si="2">A4+1</f>
        <v>3</v>
      </c>
      <c r="B5" s="4" t="s">
        <v>36</v>
      </c>
      <c r="C5" s="4" t="s">
        <v>178</v>
      </c>
      <c r="D5" s="35" t="s">
        <v>103</v>
      </c>
      <c r="E5" s="35" t="s">
        <v>113</v>
      </c>
      <c r="F5" s="35" t="s">
        <v>37</v>
      </c>
      <c r="G5" s="6"/>
      <c r="H5" s="4" t="s">
        <v>165</v>
      </c>
      <c r="I5" s="7" t="s">
        <v>40</v>
      </c>
      <c r="J5" s="35" t="s">
        <v>131</v>
      </c>
      <c r="K5" s="35" t="s">
        <v>131</v>
      </c>
      <c r="L5" s="48" t="s">
        <v>100</v>
      </c>
      <c r="M5" s="38" t="s">
        <v>49</v>
      </c>
      <c r="N5" s="48" t="s">
        <v>149</v>
      </c>
      <c r="O5" s="48" t="s">
        <v>150</v>
      </c>
      <c r="P5" s="4" t="s">
        <v>32</v>
      </c>
      <c r="Q5" s="7" t="s">
        <v>53</v>
      </c>
      <c r="R5" s="4" t="s">
        <v>23</v>
      </c>
      <c r="S5" s="4" t="s">
        <v>64</v>
      </c>
      <c r="T5" s="8" t="s">
        <v>24</v>
      </c>
      <c r="U5" s="8" t="s">
        <v>141</v>
      </c>
      <c r="V5" s="9">
        <v>38292</v>
      </c>
      <c r="W5" s="10" t="str">
        <f t="shared" ca="1" si="0"/>
        <v>21 TAHUN 5 BULAN</v>
      </c>
      <c r="X5" s="11">
        <v>45832</v>
      </c>
      <c r="Y5" s="10" t="str">
        <f t="shared" ca="1" si="1"/>
        <v>0 TAHUN 9 BULAN</v>
      </c>
      <c r="Z5" s="5" t="s">
        <v>69</v>
      </c>
      <c r="AA5" s="48" t="s">
        <v>168</v>
      </c>
      <c r="AB5" s="4" t="s">
        <v>129</v>
      </c>
      <c r="AC5" s="38" t="s">
        <v>120</v>
      </c>
      <c r="AD5" s="38" t="s">
        <v>71</v>
      </c>
      <c r="AE5" s="55" t="s">
        <v>77</v>
      </c>
      <c r="AF5" s="8" t="s">
        <v>88</v>
      </c>
      <c r="AG5" s="13">
        <v>46177</v>
      </c>
    </row>
    <row r="6" spans="1:33" x14ac:dyDescent="0.25">
      <c r="A6" s="6">
        <f>A5+1</f>
        <v>4</v>
      </c>
      <c r="B6" s="4" t="s">
        <v>36</v>
      </c>
      <c r="C6" s="4" t="s">
        <v>179</v>
      </c>
      <c r="D6" s="35" t="s">
        <v>104</v>
      </c>
      <c r="E6" s="35" t="s">
        <v>115</v>
      </c>
      <c r="F6" s="35" t="s">
        <v>37</v>
      </c>
      <c r="G6" s="6"/>
      <c r="H6" s="4" t="s">
        <v>165</v>
      </c>
      <c r="I6" s="7" t="s">
        <v>41</v>
      </c>
      <c r="J6" s="35" t="s">
        <v>132</v>
      </c>
      <c r="K6" s="35" t="s">
        <v>100</v>
      </c>
      <c r="L6" s="48" t="s">
        <v>160</v>
      </c>
      <c r="M6" s="38" t="s">
        <v>157</v>
      </c>
      <c r="N6" s="48" t="s">
        <v>153</v>
      </c>
      <c r="O6" s="48" t="s">
        <v>151</v>
      </c>
      <c r="P6" s="4" t="s">
        <v>50</v>
      </c>
      <c r="Q6" s="7" t="s">
        <v>54</v>
      </c>
      <c r="R6" s="4" t="s">
        <v>23</v>
      </c>
      <c r="S6" s="4" t="s">
        <v>64</v>
      </c>
      <c r="T6" s="8" t="s">
        <v>24</v>
      </c>
      <c r="U6" s="8" t="s">
        <v>142</v>
      </c>
      <c r="V6" s="9">
        <v>36577</v>
      </c>
      <c r="W6" s="10" t="str">
        <f t="shared" ca="1" si="0"/>
        <v>26 TAHUN 1 BULAN</v>
      </c>
      <c r="X6" s="11">
        <v>45791</v>
      </c>
      <c r="Y6" s="10" t="str">
        <f t="shared" ca="1" si="1"/>
        <v>0 TAHUN 10 BULAN</v>
      </c>
      <c r="Z6" s="5" t="s">
        <v>69</v>
      </c>
      <c r="AA6" s="48" t="s">
        <v>169</v>
      </c>
      <c r="AB6" s="4" t="s">
        <v>129</v>
      </c>
      <c r="AC6" s="38" t="s">
        <v>121</v>
      </c>
      <c r="AD6" s="52" t="s">
        <v>72</v>
      </c>
      <c r="AE6" s="55" t="s">
        <v>78</v>
      </c>
      <c r="AF6" s="8" t="s">
        <v>89</v>
      </c>
      <c r="AG6" s="13">
        <v>46159</v>
      </c>
    </row>
    <row r="7" spans="1:33" x14ac:dyDescent="0.25">
      <c r="A7" s="6">
        <f t="shared" si="2"/>
        <v>5</v>
      </c>
      <c r="B7" s="4" t="s">
        <v>36</v>
      </c>
      <c r="C7" s="4" t="s">
        <v>180</v>
      </c>
      <c r="D7" s="35" t="s">
        <v>105</v>
      </c>
      <c r="E7" s="35" t="s">
        <v>115</v>
      </c>
      <c r="F7" s="35" t="s">
        <v>37</v>
      </c>
      <c r="G7" s="6"/>
      <c r="H7" s="4" t="s">
        <v>165</v>
      </c>
      <c r="I7" s="7" t="s">
        <v>42</v>
      </c>
      <c r="J7" s="35" t="s">
        <v>99</v>
      </c>
      <c r="K7" s="35" t="s">
        <v>99</v>
      </c>
      <c r="L7" s="48" t="s">
        <v>143</v>
      </c>
      <c r="M7" s="38" t="s">
        <v>143</v>
      </c>
      <c r="N7" s="48" t="s">
        <v>149</v>
      </c>
      <c r="O7" s="48" t="s">
        <v>150</v>
      </c>
      <c r="P7" s="4" t="s">
        <v>32</v>
      </c>
      <c r="Q7" s="7" t="s">
        <v>55</v>
      </c>
      <c r="R7" s="4" t="s">
        <v>23</v>
      </c>
      <c r="S7" s="4" t="s">
        <v>65</v>
      </c>
      <c r="T7" s="8" t="s">
        <v>24</v>
      </c>
      <c r="U7" s="8" t="s">
        <v>143</v>
      </c>
      <c r="V7" s="9">
        <v>35478</v>
      </c>
      <c r="W7" s="10" t="str">
        <f t="shared" ca="1" si="0"/>
        <v>29 TAHUN 1 BULAN</v>
      </c>
      <c r="X7" s="11">
        <v>45791</v>
      </c>
      <c r="Y7" s="10" t="str">
        <f t="shared" ca="1" si="1"/>
        <v>0 TAHUN 10 BULAN</v>
      </c>
      <c r="Z7" s="5" t="s">
        <v>69</v>
      </c>
      <c r="AA7" s="48" t="s">
        <v>170</v>
      </c>
      <c r="AB7" s="4" t="s">
        <v>129</v>
      </c>
      <c r="AC7" s="38" t="s">
        <v>122</v>
      </c>
      <c r="AD7" s="38" t="s">
        <v>73</v>
      </c>
      <c r="AE7" s="55" t="s">
        <v>79</v>
      </c>
      <c r="AF7" s="8" t="s">
        <v>90</v>
      </c>
      <c r="AG7" s="13">
        <v>46123</v>
      </c>
    </row>
    <row r="8" spans="1:33" x14ac:dyDescent="0.25">
      <c r="A8" s="6">
        <f t="shared" si="2"/>
        <v>6</v>
      </c>
      <c r="B8" s="4" t="s">
        <v>36</v>
      </c>
      <c r="C8" s="4" t="s">
        <v>181</v>
      </c>
      <c r="D8" s="35" t="s">
        <v>106</v>
      </c>
      <c r="E8" s="35" t="s">
        <v>114</v>
      </c>
      <c r="F8" s="35" t="s">
        <v>37</v>
      </c>
      <c r="G8" s="6"/>
      <c r="H8" s="4" t="s">
        <v>165</v>
      </c>
      <c r="I8" s="7" t="s">
        <v>43</v>
      </c>
      <c r="J8" s="35" t="s">
        <v>133</v>
      </c>
      <c r="K8" s="35" t="s">
        <v>100</v>
      </c>
      <c r="L8" s="48" t="s">
        <v>161</v>
      </c>
      <c r="M8" s="38" t="s">
        <v>158</v>
      </c>
      <c r="N8" s="48" t="s">
        <v>154</v>
      </c>
      <c r="O8" s="48" t="s">
        <v>151</v>
      </c>
      <c r="P8" s="4" t="s">
        <v>50</v>
      </c>
      <c r="Q8" s="7" t="s">
        <v>56</v>
      </c>
      <c r="R8" s="4" t="s">
        <v>62</v>
      </c>
      <c r="S8" s="4" t="s">
        <v>64</v>
      </c>
      <c r="T8" s="8" t="s">
        <v>24</v>
      </c>
      <c r="U8" s="8" t="s">
        <v>144</v>
      </c>
      <c r="V8" s="9">
        <v>37387</v>
      </c>
      <c r="W8" s="10" t="str">
        <f t="shared" ca="1" si="0"/>
        <v>23 TAHUN 10 BULAN</v>
      </c>
      <c r="X8" s="11">
        <v>45791</v>
      </c>
      <c r="Y8" s="10" t="str">
        <f t="shared" ca="1" si="1"/>
        <v>0 TAHUN 10 BULAN</v>
      </c>
      <c r="Z8" s="5" t="s">
        <v>69</v>
      </c>
      <c r="AA8" s="48" t="s">
        <v>171</v>
      </c>
      <c r="AB8" s="4" t="s">
        <v>129</v>
      </c>
      <c r="AC8" s="38" t="s">
        <v>123</v>
      </c>
      <c r="AD8" s="38" t="s">
        <v>69</v>
      </c>
      <c r="AE8" s="55" t="s">
        <v>80</v>
      </c>
      <c r="AF8" s="8" t="s">
        <v>91</v>
      </c>
      <c r="AG8" s="13">
        <v>46156</v>
      </c>
    </row>
    <row r="9" spans="1:33" x14ac:dyDescent="0.25">
      <c r="A9" s="6">
        <f t="shared" si="2"/>
        <v>7</v>
      </c>
      <c r="B9" s="4" t="s">
        <v>36</v>
      </c>
      <c r="C9" s="4" t="s">
        <v>182</v>
      </c>
      <c r="D9" s="35" t="s">
        <v>107</v>
      </c>
      <c r="E9" s="35" t="s">
        <v>116</v>
      </c>
      <c r="F9" s="35" t="s">
        <v>37</v>
      </c>
      <c r="G9" s="6"/>
      <c r="H9" s="4" t="s">
        <v>165</v>
      </c>
      <c r="I9" s="7" t="s">
        <v>44</v>
      </c>
      <c r="J9" s="35" t="s">
        <v>134</v>
      </c>
      <c r="K9" s="35" t="s">
        <v>134</v>
      </c>
      <c r="L9" s="48" t="s">
        <v>162</v>
      </c>
      <c r="M9" s="38" t="s">
        <v>143</v>
      </c>
      <c r="N9" s="48" t="s">
        <v>149</v>
      </c>
      <c r="O9" s="48" t="s">
        <v>150</v>
      </c>
      <c r="P9" s="4" t="s">
        <v>32</v>
      </c>
      <c r="Q9" s="7" t="s">
        <v>57</v>
      </c>
      <c r="R9" s="4" t="s">
        <v>23</v>
      </c>
      <c r="S9" s="4" t="s">
        <v>64</v>
      </c>
      <c r="T9" s="8" t="s">
        <v>66</v>
      </c>
      <c r="U9" s="8" t="s">
        <v>145</v>
      </c>
      <c r="V9" s="9">
        <v>35149</v>
      </c>
      <c r="W9" s="10" t="str">
        <f ca="1">DATEDIF(V9,TODAY(),"Y")&amp;" TAHUN "&amp;DATEDIF(V9,TODAY(),"YM")&amp;" BULAN"</f>
        <v>30 TAHUN 0 BULAN</v>
      </c>
      <c r="X9" s="11">
        <v>45791</v>
      </c>
      <c r="Y9" s="10" t="str">
        <f t="shared" ca="1" si="1"/>
        <v>0 TAHUN 10 BULAN</v>
      </c>
      <c r="Z9" s="5" t="s">
        <v>69</v>
      </c>
      <c r="AA9" s="48" t="s">
        <v>172</v>
      </c>
      <c r="AB9" s="4" t="s">
        <v>129</v>
      </c>
      <c r="AC9" s="38" t="s">
        <v>124</v>
      </c>
      <c r="AD9" s="38" t="s">
        <v>74</v>
      </c>
      <c r="AE9" s="35" t="s">
        <v>81</v>
      </c>
      <c r="AF9" s="8" t="s">
        <v>92</v>
      </c>
      <c r="AG9" s="13" t="s">
        <v>97</v>
      </c>
    </row>
    <row r="10" spans="1:33" x14ac:dyDescent="0.25">
      <c r="A10" s="6">
        <f t="shared" si="2"/>
        <v>8</v>
      </c>
      <c r="B10" s="4" t="s">
        <v>36</v>
      </c>
      <c r="C10" s="4" t="s">
        <v>183</v>
      </c>
      <c r="D10" s="35" t="s">
        <v>108</v>
      </c>
      <c r="E10" s="35" t="s">
        <v>116</v>
      </c>
      <c r="F10" s="35" t="s">
        <v>37</v>
      </c>
      <c r="G10" s="6"/>
      <c r="H10" s="4" t="s">
        <v>165</v>
      </c>
      <c r="I10" s="7" t="s">
        <v>45</v>
      </c>
      <c r="J10" s="35" t="s">
        <v>135</v>
      </c>
      <c r="K10" s="35" t="s">
        <v>135</v>
      </c>
      <c r="L10" s="48" t="s">
        <v>146</v>
      </c>
      <c r="M10" s="38" t="s">
        <v>143</v>
      </c>
      <c r="N10" s="48" t="s">
        <v>149</v>
      </c>
      <c r="O10" s="48" t="s">
        <v>150</v>
      </c>
      <c r="P10" s="4" t="s">
        <v>32</v>
      </c>
      <c r="Q10" s="7" t="s">
        <v>58</v>
      </c>
      <c r="R10" s="4" t="s">
        <v>23</v>
      </c>
      <c r="S10" s="4" t="s">
        <v>64</v>
      </c>
      <c r="T10" s="8" t="s">
        <v>24</v>
      </c>
      <c r="U10" s="8" t="s">
        <v>146</v>
      </c>
      <c r="V10" s="9">
        <v>38969</v>
      </c>
      <c r="W10" s="10" t="str">
        <f t="shared" ca="1" si="0"/>
        <v>19 TAHUN 7 BULAN</v>
      </c>
      <c r="X10" s="11">
        <v>45791</v>
      </c>
      <c r="Y10" s="10" t="str">
        <f t="shared" ca="1" si="1"/>
        <v>0 TAHUN 10 BULAN</v>
      </c>
      <c r="Z10" s="5" t="s">
        <v>69</v>
      </c>
      <c r="AA10" s="48" t="s">
        <v>173</v>
      </c>
      <c r="AB10" s="4" t="s">
        <v>129</v>
      </c>
      <c r="AC10" s="38" t="s">
        <v>125</v>
      </c>
      <c r="AD10" s="38" t="s">
        <v>69</v>
      </c>
      <c r="AE10" s="55" t="s">
        <v>82</v>
      </c>
      <c r="AF10" s="8" t="s">
        <v>93</v>
      </c>
      <c r="AG10" s="13" t="s">
        <v>97</v>
      </c>
    </row>
    <row r="11" spans="1:33" x14ac:dyDescent="0.25">
      <c r="A11" s="6">
        <f t="shared" si="2"/>
        <v>9</v>
      </c>
      <c r="B11" s="4" t="s">
        <v>36</v>
      </c>
      <c r="C11" s="4" t="s">
        <v>184</v>
      </c>
      <c r="D11" s="35" t="s">
        <v>109</v>
      </c>
      <c r="E11" s="35" t="s">
        <v>116</v>
      </c>
      <c r="F11" s="35" t="s">
        <v>37</v>
      </c>
      <c r="G11" s="6"/>
      <c r="H11" s="4" t="s">
        <v>165</v>
      </c>
      <c r="I11" s="7" t="s">
        <v>46</v>
      </c>
      <c r="J11" s="35" t="s">
        <v>136</v>
      </c>
      <c r="K11" s="35" t="s">
        <v>136</v>
      </c>
      <c r="L11" s="48" t="s">
        <v>163</v>
      </c>
      <c r="M11" s="38" t="s">
        <v>143</v>
      </c>
      <c r="N11" s="48" t="s">
        <v>149</v>
      </c>
      <c r="O11" s="48" t="s">
        <v>150</v>
      </c>
      <c r="P11" s="4" t="s">
        <v>32</v>
      </c>
      <c r="Q11" s="7" t="s">
        <v>59</v>
      </c>
      <c r="R11" s="4" t="s">
        <v>23</v>
      </c>
      <c r="S11" s="4" t="s">
        <v>64</v>
      </c>
      <c r="T11" s="8" t="s">
        <v>24</v>
      </c>
      <c r="U11" s="8" t="s">
        <v>147</v>
      </c>
      <c r="V11" s="9">
        <v>38844</v>
      </c>
      <c r="W11" s="10" t="str">
        <f t="shared" ca="1" si="0"/>
        <v>19 TAHUN 11 BULAN</v>
      </c>
      <c r="X11" s="11">
        <v>45791</v>
      </c>
      <c r="Y11" s="10" t="str">
        <f t="shared" ca="1" si="1"/>
        <v>0 TAHUN 10 BULAN</v>
      </c>
      <c r="Z11" s="5" t="s">
        <v>69</v>
      </c>
      <c r="AA11" s="48" t="s">
        <v>174</v>
      </c>
      <c r="AB11" s="4" t="s">
        <v>129</v>
      </c>
      <c r="AC11" s="38" t="s">
        <v>126</v>
      </c>
      <c r="AD11" s="38" t="s">
        <v>69</v>
      </c>
      <c r="AE11" s="55" t="s">
        <v>83</v>
      </c>
      <c r="AF11" s="8" t="s">
        <v>94</v>
      </c>
      <c r="AG11" s="13">
        <v>46156</v>
      </c>
    </row>
    <row r="12" spans="1:33" x14ac:dyDescent="0.25">
      <c r="A12" s="6">
        <f t="shared" si="2"/>
        <v>10</v>
      </c>
      <c r="B12" s="4" t="s">
        <v>36</v>
      </c>
      <c r="C12" s="4" t="s">
        <v>185</v>
      </c>
      <c r="D12" s="35" t="s">
        <v>110</v>
      </c>
      <c r="E12" s="35" t="s">
        <v>117</v>
      </c>
      <c r="F12" s="35" t="s">
        <v>37</v>
      </c>
      <c r="G12" s="6"/>
      <c r="H12" s="4" t="s">
        <v>165</v>
      </c>
      <c r="I12" s="7" t="s">
        <v>47</v>
      </c>
      <c r="J12" s="35" t="s">
        <v>137</v>
      </c>
      <c r="K12" s="35" t="s">
        <v>137</v>
      </c>
      <c r="L12" s="48" t="s">
        <v>164</v>
      </c>
      <c r="M12" s="38" t="s">
        <v>155</v>
      </c>
      <c r="N12" s="48" t="s">
        <v>149</v>
      </c>
      <c r="O12" s="48" t="s">
        <v>150</v>
      </c>
      <c r="P12" s="4" t="s">
        <v>32</v>
      </c>
      <c r="Q12" s="7" t="s">
        <v>60</v>
      </c>
      <c r="R12" s="4" t="s">
        <v>23</v>
      </c>
      <c r="S12" s="4" t="s">
        <v>65</v>
      </c>
      <c r="T12" s="8" t="s">
        <v>24</v>
      </c>
      <c r="U12" s="8" t="s">
        <v>148</v>
      </c>
      <c r="V12" s="9">
        <v>34195</v>
      </c>
      <c r="W12" s="10" t="str">
        <f t="shared" ca="1" si="0"/>
        <v>32 TAHUN 7 BULAN</v>
      </c>
      <c r="X12" s="11">
        <v>45832</v>
      </c>
      <c r="Y12" s="10" t="str">
        <f t="shared" ca="1" si="1"/>
        <v>0 TAHUN 9 BULAN</v>
      </c>
      <c r="Z12" s="5" t="s">
        <v>69</v>
      </c>
      <c r="AA12" s="48" t="s">
        <v>168</v>
      </c>
      <c r="AB12" s="4" t="s">
        <v>129</v>
      </c>
      <c r="AC12" s="38" t="s">
        <v>127</v>
      </c>
      <c r="AD12" s="38" t="s">
        <v>69</v>
      </c>
      <c r="AE12" s="35" t="s">
        <v>84</v>
      </c>
      <c r="AF12" s="8" t="s">
        <v>95</v>
      </c>
      <c r="AG12" s="13">
        <v>46161</v>
      </c>
    </row>
    <row r="13" spans="1:33" x14ac:dyDescent="0.25">
      <c r="A13" s="6">
        <f t="shared" si="2"/>
        <v>11</v>
      </c>
      <c r="B13" s="4" t="s">
        <v>36</v>
      </c>
      <c r="C13" s="14" t="s">
        <v>186</v>
      </c>
      <c r="D13" s="35" t="s">
        <v>111</v>
      </c>
      <c r="E13" s="42" t="s">
        <v>117</v>
      </c>
      <c r="F13" s="35" t="s">
        <v>37</v>
      </c>
      <c r="G13" s="6"/>
      <c r="H13" s="4" t="s">
        <v>165</v>
      </c>
      <c r="I13" s="15" t="s">
        <v>48</v>
      </c>
      <c r="J13" s="35" t="s">
        <v>138</v>
      </c>
      <c r="K13" s="35" t="s">
        <v>138</v>
      </c>
      <c r="L13" s="49" t="s">
        <v>147</v>
      </c>
      <c r="M13" s="50" t="s">
        <v>143</v>
      </c>
      <c r="N13" s="48" t="s">
        <v>149</v>
      </c>
      <c r="O13" s="48" t="s">
        <v>150</v>
      </c>
      <c r="P13" s="4" t="s">
        <v>32</v>
      </c>
      <c r="Q13" s="15" t="s">
        <v>61</v>
      </c>
      <c r="R13" s="4" t="s">
        <v>23</v>
      </c>
      <c r="S13" s="17" t="s">
        <v>65</v>
      </c>
      <c r="T13" s="8" t="s">
        <v>24</v>
      </c>
      <c r="U13" s="20" t="s">
        <v>149</v>
      </c>
      <c r="V13" s="21">
        <v>35952</v>
      </c>
      <c r="W13" s="10" t="str">
        <f t="shared" ca="1" si="0"/>
        <v>27 TAHUN 10 BULAN</v>
      </c>
      <c r="X13" s="11">
        <v>45832</v>
      </c>
      <c r="Y13" s="10" t="str">
        <f ca="1">DATEDIF(X13,TODAY(),"Y")&amp;" TAHUN "&amp;DATEDIF(X13,TODAY(),"YM")&amp;" BULAN"</f>
        <v>0 TAHUN 9 BULAN</v>
      </c>
      <c r="Z13" s="5" t="s">
        <v>69</v>
      </c>
      <c r="AA13" s="48" t="s">
        <v>175</v>
      </c>
      <c r="AB13" s="4" t="s">
        <v>129</v>
      </c>
      <c r="AC13" s="38" t="s">
        <v>128</v>
      </c>
      <c r="AD13" s="38" t="s">
        <v>69</v>
      </c>
      <c r="AE13" s="55" t="s">
        <v>85</v>
      </c>
      <c r="AF13" s="8" t="s">
        <v>96</v>
      </c>
      <c r="AG13" s="13">
        <v>46164</v>
      </c>
    </row>
    <row r="14" spans="1:33" x14ac:dyDescent="0.25">
      <c r="A14" s="6">
        <f t="shared" si="2"/>
        <v>12</v>
      </c>
      <c r="B14" s="4" t="s">
        <v>36</v>
      </c>
      <c r="C14" s="14" t="s">
        <v>231</v>
      </c>
      <c r="D14" s="36" t="s">
        <v>191</v>
      </c>
      <c r="E14" s="43" t="s">
        <v>113</v>
      </c>
      <c r="F14" s="35" t="s">
        <v>37</v>
      </c>
      <c r="G14" s="4"/>
      <c r="H14" s="14" t="s">
        <v>165</v>
      </c>
      <c r="I14" s="23" t="s">
        <v>196</v>
      </c>
      <c r="J14" s="43" t="s">
        <v>207</v>
      </c>
      <c r="K14" s="43" t="s">
        <v>207</v>
      </c>
      <c r="L14" s="51" t="s">
        <v>203</v>
      </c>
      <c r="M14" s="36" t="s">
        <v>205</v>
      </c>
      <c r="N14" s="48" t="s">
        <v>149</v>
      </c>
      <c r="O14" s="48" t="s">
        <v>150</v>
      </c>
      <c r="P14" s="14" t="s">
        <v>32</v>
      </c>
      <c r="Q14" s="16">
        <v>81245667909</v>
      </c>
      <c r="R14" s="14" t="s">
        <v>23</v>
      </c>
      <c r="S14" s="28" t="s">
        <v>197</v>
      </c>
      <c r="T14" s="19" t="s">
        <v>24</v>
      </c>
      <c r="U14" s="22" t="s">
        <v>49</v>
      </c>
      <c r="V14" s="9">
        <v>29142</v>
      </c>
      <c r="W14" s="10" t="str">
        <f t="shared" ref="W14" ca="1" si="3">DATEDIF(V14,TODAY(),"Y")&amp;" TAHUN "&amp;DATEDIF(V14,TODAY(),"YM")&amp;" BULAN"</f>
        <v>46 TAHUN 5 BULAN</v>
      </c>
      <c r="X14" s="11">
        <v>45909</v>
      </c>
      <c r="Y14" s="10" t="str">
        <f t="shared" ref="Y14:Y69" ca="1" si="4">DATEDIF(X14,TODAY(),"Y")&amp;" TAHUN "&amp;DATEDIF(X14,TODAY(),"YM")&amp;" BULAN"</f>
        <v>0 TAHUN 7 BULAN</v>
      </c>
      <c r="Z14" s="4" t="s">
        <v>69</v>
      </c>
      <c r="AA14" s="38" t="s">
        <v>208</v>
      </c>
      <c r="AB14" s="4" t="s">
        <v>129</v>
      </c>
      <c r="AC14" s="38" t="s">
        <v>215</v>
      </c>
      <c r="AD14" s="38" t="s">
        <v>221</v>
      </c>
      <c r="AE14" s="38" t="s">
        <v>216</v>
      </c>
      <c r="AF14" s="4" t="s">
        <v>228</v>
      </c>
      <c r="AG14" s="13">
        <v>46228</v>
      </c>
    </row>
    <row r="15" spans="1:33" x14ac:dyDescent="0.25">
      <c r="A15" s="6">
        <f>A14+1</f>
        <v>13</v>
      </c>
      <c r="B15" s="4" t="s">
        <v>36</v>
      </c>
      <c r="C15" s="14" t="s">
        <v>232</v>
      </c>
      <c r="D15" s="36" t="s">
        <v>187</v>
      </c>
      <c r="E15" s="42" t="s">
        <v>117</v>
      </c>
      <c r="F15" s="35" t="s">
        <v>37</v>
      </c>
      <c r="G15" s="6"/>
      <c r="H15" s="14" t="s">
        <v>165</v>
      </c>
      <c r="I15" s="23" t="s">
        <v>193</v>
      </c>
      <c r="J15" s="43" t="s">
        <v>209</v>
      </c>
      <c r="K15" s="43" t="s">
        <v>209</v>
      </c>
      <c r="L15" s="51" t="s">
        <v>201</v>
      </c>
      <c r="M15" s="36" t="s">
        <v>143</v>
      </c>
      <c r="N15" s="48" t="s">
        <v>149</v>
      </c>
      <c r="O15" s="48" t="s">
        <v>150</v>
      </c>
      <c r="P15" s="14" t="s">
        <v>32</v>
      </c>
      <c r="Q15" s="16">
        <v>82293605717</v>
      </c>
      <c r="R15" s="14" t="s">
        <v>23</v>
      </c>
      <c r="S15" s="4" t="s">
        <v>64</v>
      </c>
      <c r="T15" s="19" t="s">
        <v>24</v>
      </c>
      <c r="U15" s="22" t="s">
        <v>198</v>
      </c>
      <c r="V15" s="21">
        <v>38832</v>
      </c>
      <c r="W15" s="10" t="str">
        <f t="shared" ca="1" si="0"/>
        <v>19 TAHUN 11 BULAN</v>
      </c>
      <c r="X15" s="11">
        <v>45909</v>
      </c>
      <c r="Y15" s="10" t="str">
        <f t="shared" ca="1" si="4"/>
        <v>0 TAHUN 7 BULAN</v>
      </c>
      <c r="Z15" s="4" t="s">
        <v>69</v>
      </c>
      <c r="AA15" s="38" t="s">
        <v>173</v>
      </c>
      <c r="AB15" s="4" t="s">
        <v>129</v>
      </c>
      <c r="AC15" s="38" t="s">
        <v>210</v>
      </c>
      <c r="AD15" s="38" t="s">
        <v>69</v>
      </c>
      <c r="AE15" s="38" t="s">
        <v>211</v>
      </c>
      <c r="AF15" s="4" t="s">
        <v>224</v>
      </c>
      <c r="AG15" s="13">
        <v>45920</v>
      </c>
    </row>
    <row r="16" spans="1:33" x14ac:dyDescent="0.25">
      <c r="A16" s="6">
        <f t="shared" si="2"/>
        <v>14</v>
      </c>
      <c r="B16" s="4" t="s">
        <v>36</v>
      </c>
      <c r="C16" s="14" t="s">
        <v>233</v>
      </c>
      <c r="D16" s="36" t="s">
        <v>188</v>
      </c>
      <c r="E16" s="42" t="s">
        <v>117</v>
      </c>
      <c r="F16" s="35" t="s">
        <v>37</v>
      </c>
      <c r="G16" s="6"/>
      <c r="H16" s="14" t="s">
        <v>165</v>
      </c>
      <c r="I16" s="23" t="s">
        <v>194</v>
      </c>
      <c r="J16" s="43" t="s">
        <v>222</v>
      </c>
      <c r="K16" s="43" t="s">
        <v>222</v>
      </c>
      <c r="L16" s="51" t="s">
        <v>202</v>
      </c>
      <c r="M16" s="36" t="s">
        <v>204</v>
      </c>
      <c r="N16" s="48" t="s">
        <v>149</v>
      </c>
      <c r="O16" s="48" t="s">
        <v>150</v>
      </c>
      <c r="P16" s="14" t="s">
        <v>32</v>
      </c>
      <c r="Q16" s="16">
        <v>82351367945</v>
      </c>
      <c r="R16" s="14" t="s">
        <v>23</v>
      </c>
      <c r="S16" s="4" t="s">
        <v>64</v>
      </c>
      <c r="T16" s="19" t="s">
        <v>24</v>
      </c>
      <c r="U16" s="22" t="s">
        <v>149</v>
      </c>
      <c r="V16" s="21">
        <v>33906</v>
      </c>
      <c r="W16" s="10" t="str">
        <f t="shared" ca="1" si="0"/>
        <v>33 TAHUN 5 BULAN</v>
      </c>
      <c r="X16" s="11">
        <v>45909</v>
      </c>
      <c r="Y16" s="10" t="str">
        <f t="shared" ca="1" si="4"/>
        <v>0 TAHUN 7 BULAN</v>
      </c>
      <c r="Z16" s="4" t="s">
        <v>69</v>
      </c>
      <c r="AA16" s="38" t="s">
        <v>230</v>
      </c>
      <c r="AB16" s="4" t="s">
        <v>129</v>
      </c>
      <c r="AC16" s="38" t="s">
        <v>223</v>
      </c>
      <c r="AD16" s="38" t="s">
        <v>69</v>
      </c>
      <c r="AE16" s="56" t="s">
        <v>229</v>
      </c>
      <c r="AF16" s="4" t="s">
        <v>226</v>
      </c>
      <c r="AG16" s="13">
        <v>46193</v>
      </c>
    </row>
    <row r="17" spans="1:33" x14ac:dyDescent="0.25">
      <c r="A17" s="6">
        <f t="shared" si="2"/>
        <v>15</v>
      </c>
      <c r="B17" s="4" t="s">
        <v>36</v>
      </c>
      <c r="C17" s="14" t="s">
        <v>234</v>
      </c>
      <c r="D17" s="36" t="s">
        <v>189</v>
      </c>
      <c r="E17" s="42" t="s">
        <v>117</v>
      </c>
      <c r="F17" s="35" t="s">
        <v>37</v>
      </c>
      <c r="G17" s="6"/>
      <c r="H17" s="14" t="s">
        <v>165</v>
      </c>
      <c r="I17" s="32" t="s">
        <v>697</v>
      </c>
      <c r="J17" s="43" t="s">
        <v>217</v>
      </c>
      <c r="K17" s="43" t="s">
        <v>217</v>
      </c>
      <c r="L17" s="51" t="s">
        <v>199</v>
      </c>
      <c r="M17" s="36" t="s">
        <v>199</v>
      </c>
      <c r="N17" s="48" t="s">
        <v>149</v>
      </c>
      <c r="O17" s="48" t="s">
        <v>150</v>
      </c>
      <c r="P17" s="14" t="s">
        <v>32</v>
      </c>
      <c r="Q17" s="16">
        <v>85657151107</v>
      </c>
      <c r="R17" s="14" t="s">
        <v>23</v>
      </c>
      <c r="S17" s="4" t="s">
        <v>64</v>
      </c>
      <c r="T17" s="19" t="s">
        <v>24</v>
      </c>
      <c r="U17" s="22" t="s">
        <v>199</v>
      </c>
      <c r="V17" s="21">
        <v>36897</v>
      </c>
      <c r="W17" s="10" t="str">
        <f t="shared" ca="1" si="0"/>
        <v>25 TAHUN 3 BULAN</v>
      </c>
      <c r="X17" s="11">
        <v>45909</v>
      </c>
      <c r="Y17" s="10" t="str">
        <f t="shared" ca="1" si="4"/>
        <v>0 TAHUN 7 BULAN</v>
      </c>
      <c r="Z17" s="4" t="s">
        <v>69</v>
      </c>
      <c r="AA17" s="38" t="s">
        <v>218</v>
      </c>
      <c r="AB17" s="4" t="s">
        <v>129</v>
      </c>
      <c r="AC17" s="38" t="s">
        <v>219</v>
      </c>
      <c r="AD17" s="38" t="s">
        <v>69</v>
      </c>
      <c r="AE17" s="38" t="s">
        <v>220</v>
      </c>
      <c r="AF17" s="4" t="s">
        <v>225</v>
      </c>
      <c r="AG17" s="13">
        <v>46193</v>
      </c>
    </row>
    <row r="18" spans="1:33" x14ac:dyDescent="0.25">
      <c r="A18" s="6">
        <f t="shared" si="2"/>
        <v>16</v>
      </c>
      <c r="B18" s="4" t="s">
        <v>36</v>
      </c>
      <c r="C18" s="14" t="s">
        <v>235</v>
      </c>
      <c r="D18" s="36" t="s">
        <v>190</v>
      </c>
      <c r="E18" s="43" t="s">
        <v>192</v>
      </c>
      <c r="F18" s="35" t="s">
        <v>37</v>
      </c>
      <c r="G18" s="6"/>
      <c r="H18" s="14" t="s">
        <v>165</v>
      </c>
      <c r="I18" s="23" t="s">
        <v>195</v>
      </c>
      <c r="J18" s="43" t="s">
        <v>212</v>
      </c>
      <c r="K18" s="43" t="s">
        <v>212</v>
      </c>
      <c r="L18" s="51" t="s">
        <v>162</v>
      </c>
      <c r="M18" s="36" t="s">
        <v>143</v>
      </c>
      <c r="N18" s="48" t="s">
        <v>149</v>
      </c>
      <c r="O18" s="48" t="s">
        <v>150</v>
      </c>
      <c r="P18" s="14" t="s">
        <v>32</v>
      </c>
      <c r="Q18" s="16">
        <v>81257998588</v>
      </c>
      <c r="R18" s="14" t="s">
        <v>23</v>
      </c>
      <c r="S18" s="4" t="s">
        <v>64</v>
      </c>
      <c r="T18" s="19" t="s">
        <v>24</v>
      </c>
      <c r="U18" s="22" t="s">
        <v>200</v>
      </c>
      <c r="V18" s="9">
        <v>38965</v>
      </c>
      <c r="W18" s="10" t="str">
        <f t="shared" ca="1" si="0"/>
        <v>19 TAHUN 7 BULAN</v>
      </c>
      <c r="X18" s="11">
        <v>45909</v>
      </c>
      <c r="Y18" s="10" t="str">
        <f t="shared" ca="1" si="4"/>
        <v>0 TAHUN 7 BULAN</v>
      </c>
      <c r="Z18" s="4" t="s">
        <v>69</v>
      </c>
      <c r="AA18" s="38" t="s">
        <v>213</v>
      </c>
      <c r="AB18" s="4" t="s">
        <v>129</v>
      </c>
      <c r="AC18" s="38" t="s">
        <v>206</v>
      </c>
      <c r="AD18" s="38" t="s">
        <v>69</v>
      </c>
      <c r="AE18" s="38" t="s">
        <v>214</v>
      </c>
      <c r="AF18" s="4" t="s">
        <v>227</v>
      </c>
      <c r="AG18" s="13">
        <v>46222</v>
      </c>
    </row>
    <row r="19" spans="1:33" x14ac:dyDescent="0.25">
      <c r="A19" s="6">
        <f>A18+1</f>
        <v>17</v>
      </c>
      <c r="B19" s="4" t="s">
        <v>36</v>
      </c>
      <c r="C19" s="14" t="s">
        <v>371</v>
      </c>
      <c r="D19" s="37" t="s">
        <v>236</v>
      </c>
      <c r="E19" s="37" t="s">
        <v>252</v>
      </c>
      <c r="F19" s="35" t="s">
        <v>37</v>
      </c>
      <c r="G19" s="6"/>
      <c r="H19" s="14" t="s">
        <v>165</v>
      </c>
      <c r="I19" s="24" t="s">
        <v>254</v>
      </c>
      <c r="J19" s="46" t="s">
        <v>271</v>
      </c>
      <c r="K19" s="46" t="s">
        <v>271</v>
      </c>
      <c r="L19" s="46" t="s">
        <v>164</v>
      </c>
      <c r="M19" s="47" t="s">
        <v>155</v>
      </c>
      <c r="N19" s="48" t="s">
        <v>149</v>
      </c>
      <c r="O19" s="48" t="s">
        <v>150</v>
      </c>
      <c r="P19" s="14" t="s">
        <v>32</v>
      </c>
      <c r="Q19" s="27">
        <v>81325770147</v>
      </c>
      <c r="R19" s="14" t="s">
        <v>23</v>
      </c>
      <c r="S19" s="4" t="s">
        <v>65</v>
      </c>
      <c r="T19" s="19" t="s">
        <v>24</v>
      </c>
      <c r="U19" s="4" t="s">
        <v>317</v>
      </c>
      <c r="V19" s="9">
        <v>35737</v>
      </c>
      <c r="W19" s="10" t="str">
        <f t="shared" ca="1" si="0"/>
        <v>28 TAHUN 5 BULAN</v>
      </c>
      <c r="X19" s="11">
        <v>45993</v>
      </c>
      <c r="Y19" s="4" t="str">
        <f t="shared" ca="1" si="4"/>
        <v>0 TAHUN 4 BULAN</v>
      </c>
      <c r="Z19" s="4" t="s">
        <v>69</v>
      </c>
      <c r="AA19" s="38" t="s">
        <v>318</v>
      </c>
      <c r="AB19" s="4" t="s">
        <v>129</v>
      </c>
      <c r="AC19" s="38" t="s">
        <v>319</v>
      </c>
      <c r="AD19" s="38" t="s">
        <v>320</v>
      </c>
      <c r="AE19" s="56" t="s">
        <v>321</v>
      </c>
      <c r="AF19" s="4" t="s">
        <v>600</v>
      </c>
      <c r="AG19" s="29">
        <v>46305</v>
      </c>
    </row>
    <row r="20" spans="1:33" x14ac:dyDescent="0.25">
      <c r="A20" s="6">
        <f t="shared" ref="A20:A83" si="5">A19+1</f>
        <v>18</v>
      </c>
      <c r="B20" s="4" t="s">
        <v>36</v>
      </c>
      <c r="C20" s="14" t="s">
        <v>372</v>
      </c>
      <c r="D20" s="37" t="s">
        <v>237</v>
      </c>
      <c r="E20" s="37" t="s">
        <v>252</v>
      </c>
      <c r="F20" s="35" t="s">
        <v>37</v>
      </c>
      <c r="G20" s="6"/>
      <c r="H20" s="14" t="s">
        <v>165</v>
      </c>
      <c r="I20" s="25" t="s">
        <v>255</v>
      </c>
      <c r="J20" s="47" t="s">
        <v>272</v>
      </c>
      <c r="K20" s="47" t="s">
        <v>272</v>
      </c>
      <c r="L20" s="46" t="s">
        <v>281</v>
      </c>
      <c r="M20" s="47" t="s">
        <v>49</v>
      </c>
      <c r="N20" s="48" t="s">
        <v>149</v>
      </c>
      <c r="O20" s="48" t="s">
        <v>150</v>
      </c>
      <c r="P20" s="14" t="s">
        <v>32</v>
      </c>
      <c r="Q20" s="27">
        <v>85824898876</v>
      </c>
      <c r="R20" s="14" t="s">
        <v>23</v>
      </c>
      <c r="S20" s="4" t="s">
        <v>64</v>
      </c>
      <c r="T20" s="4" t="s">
        <v>340</v>
      </c>
      <c r="U20" s="4" t="s">
        <v>286</v>
      </c>
      <c r="V20" s="9">
        <v>37647</v>
      </c>
      <c r="W20" s="10" t="str">
        <f t="shared" ca="1" si="0"/>
        <v>23 TAHUN 2 BULAN</v>
      </c>
      <c r="X20" s="11">
        <v>45993</v>
      </c>
      <c r="Y20" s="4" t="str">
        <f t="shared" ca="1" si="4"/>
        <v>0 TAHUN 4 BULAN</v>
      </c>
      <c r="Z20" s="4" t="s">
        <v>69</v>
      </c>
      <c r="AA20" s="38" t="s">
        <v>341</v>
      </c>
      <c r="AB20" s="4" t="s">
        <v>129</v>
      </c>
      <c r="AC20" s="38" t="s">
        <v>342</v>
      </c>
      <c r="AD20" s="38" t="s">
        <v>343</v>
      </c>
      <c r="AE20" s="38" t="s">
        <v>344</v>
      </c>
      <c r="AF20" s="4" t="s">
        <v>601</v>
      </c>
      <c r="AG20" s="29">
        <v>46305</v>
      </c>
    </row>
    <row r="21" spans="1:33" x14ac:dyDescent="0.25">
      <c r="A21" s="6">
        <f t="shared" si="5"/>
        <v>19</v>
      </c>
      <c r="B21" s="4" t="s">
        <v>36</v>
      </c>
      <c r="C21" s="14" t="s">
        <v>373</v>
      </c>
      <c r="D21" s="37" t="s">
        <v>238</v>
      </c>
      <c r="E21" s="37" t="s">
        <v>252</v>
      </c>
      <c r="F21" s="35" t="s">
        <v>37</v>
      </c>
      <c r="G21" s="6"/>
      <c r="H21" s="14" t="s">
        <v>165</v>
      </c>
      <c r="I21" s="25" t="s">
        <v>256</v>
      </c>
      <c r="J21" s="47" t="s">
        <v>273</v>
      </c>
      <c r="K21" s="47" t="s">
        <v>273</v>
      </c>
      <c r="L21" s="46" t="s">
        <v>282</v>
      </c>
      <c r="M21" s="47" t="s">
        <v>292</v>
      </c>
      <c r="N21" s="48" t="s">
        <v>149</v>
      </c>
      <c r="O21" s="48" t="s">
        <v>150</v>
      </c>
      <c r="P21" s="14" t="s">
        <v>32</v>
      </c>
      <c r="Q21" s="27">
        <v>85366673408</v>
      </c>
      <c r="R21" s="4" t="s">
        <v>300</v>
      </c>
      <c r="S21" s="4" t="s">
        <v>64</v>
      </c>
      <c r="T21" s="4" t="s">
        <v>24</v>
      </c>
      <c r="U21" s="4" t="s">
        <v>301</v>
      </c>
      <c r="V21" s="9">
        <v>37594</v>
      </c>
      <c r="W21" s="10" t="str">
        <f ca="1">DATEDIF(V21,TODAY(),"Y")&amp;" TAHUN "&amp;DATEDIF(V21,TODAY(),"YM")&amp;" BULAN"</f>
        <v>23 TAHUN 4 BULAN</v>
      </c>
      <c r="X21" s="11">
        <v>45993</v>
      </c>
      <c r="Y21" s="4" t="str">
        <f t="shared" ca="1" si="4"/>
        <v>0 TAHUN 4 BULAN</v>
      </c>
      <c r="Z21" s="4" t="s">
        <v>69</v>
      </c>
      <c r="AA21" s="38" t="s">
        <v>302</v>
      </c>
      <c r="AB21" s="4" t="s">
        <v>129</v>
      </c>
      <c r="AC21" s="38" t="s">
        <v>303</v>
      </c>
      <c r="AD21" s="38" t="s">
        <v>304</v>
      </c>
      <c r="AE21" s="38" t="s">
        <v>305</v>
      </c>
      <c r="AF21" s="4" t="s">
        <v>602</v>
      </c>
      <c r="AG21" s="29">
        <v>46305</v>
      </c>
    </row>
    <row r="22" spans="1:33" x14ac:dyDescent="0.25">
      <c r="A22" s="6">
        <f t="shared" si="5"/>
        <v>20</v>
      </c>
      <c r="B22" s="4" t="s">
        <v>36</v>
      </c>
      <c r="C22" s="14" t="s">
        <v>374</v>
      </c>
      <c r="D22" s="37" t="s">
        <v>239</v>
      </c>
      <c r="E22" s="37" t="s">
        <v>252</v>
      </c>
      <c r="F22" s="35" t="s">
        <v>37</v>
      </c>
      <c r="G22" s="6"/>
      <c r="H22" s="14" t="s">
        <v>165</v>
      </c>
      <c r="I22" s="25" t="s">
        <v>257</v>
      </c>
      <c r="J22" s="46" t="s">
        <v>274</v>
      </c>
      <c r="K22" s="46" t="s">
        <v>274</v>
      </c>
      <c r="L22" s="46" t="s">
        <v>283</v>
      </c>
      <c r="M22" s="47" t="s">
        <v>49</v>
      </c>
      <c r="N22" s="48" t="s">
        <v>149</v>
      </c>
      <c r="O22" s="48" t="s">
        <v>150</v>
      </c>
      <c r="P22" s="14" t="s">
        <v>32</v>
      </c>
      <c r="Q22" s="27">
        <v>85242407246</v>
      </c>
      <c r="R22" s="4" t="s">
        <v>23</v>
      </c>
      <c r="S22" s="4" t="s">
        <v>64</v>
      </c>
      <c r="T22" s="4" t="s">
        <v>24</v>
      </c>
      <c r="U22" s="4" t="s">
        <v>286</v>
      </c>
      <c r="V22" s="9">
        <v>37477</v>
      </c>
      <c r="W22" s="10" t="str">
        <f ca="1">DATEDIF(V22,TODAY(),"Y")&amp;" TAHUN "&amp;DATEDIF(V22,TODAY(),"YM")&amp;" BULAN"</f>
        <v>23 TAHUN 8 BULAN</v>
      </c>
      <c r="X22" s="11">
        <v>45993</v>
      </c>
      <c r="Y22" s="4" t="str">
        <f t="shared" ca="1" si="4"/>
        <v>0 TAHUN 4 BULAN</v>
      </c>
      <c r="Z22" s="4" t="s">
        <v>69</v>
      </c>
      <c r="AA22" s="38" t="s">
        <v>306</v>
      </c>
      <c r="AB22" s="4" t="s">
        <v>129</v>
      </c>
      <c r="AC22" s="38" t="s">
        <v>307</v>
      </c>
      <c r="AD22" s="38" t="s">
        <v>308</v>
      </c>
      <c r="AE22" s="38" t="s">
        <v>309</v>
      </c>
      <c r="AF22" s="4" t="s">
        <v>603</v>
      </c>
      <c r="AG22" s="29">
        <v>46305</v>
      </c>
    </row>
    <row r="23" spans="1:33" x14ac:dyDescent="0.25">
      <c r="A23" s="6">
        <f t="shared" si="5"/>
        <v>21</v>
      </c>
      <c r="B23" s="4" t="s">
        <v>36</v>
      </c>
      <c r="C23" s="14" t="s">
        <v>375</v>
      </c>
      <c r="D23" s="37" t="s">
        <v>240</v>
      </c>
      <c r="E23" s="37" t="s">
        <v>252</v>
      </c>
      <c r="F23" s="35" t="s">
        <v>37</v>
      </c>
      <c r="G23" s="6"/>
      <c r="H23" s="14" t="s">
        <v>165</v>
      </c>
      <c r="I23" s="25" t="s">
        <v>258</v>
      </c>
      <c r="J23" s="46" t="s">
        <v>275</v>
      </c>
      <c r="K23" s="46" t="s">
        <v>275</v>
      </c>
      <c r="L23" s="46" t="s">
        <v>203</v>
      </c>
      <c r="M23" s="47" t="s">
        <v>205</v>
      </c>
      <c r="N23" s="48" t="s">
        <v>149</v>
      </c>
      <c r="O23" s="48" t="s">
        <v>150</v>
      </c>
      <c r="P23" s="14" t="s">
        <v>32</v>
      </c>
      <c r="Q23" s="27">
        <v>82378873396</v>
      </c>
      <c r="R23" s="4" t="s">
        <v>300</v>
      </c>
      <c r="S23" s="4" t="s">
        <v>197</v>
      </c>
      <c r="T23" s="4" t="s">
        <v>24</v>
      </c>
      <c r="U23" s="4" t="s">
        <v>332</v>
      </c>
      <c r="V23" s="9">
        <v>36052</v>
      </c>
      <c r="W23" s="10" t="str">
        <f ca="1">DATEDIF(V23,TODAY(),"Y")&amp;" TAHUN "&amp;DATEDIF(V23,TODAY(),"YM")&amp;" BULAN"</f>
        <v>27 TAHUN 6 BULAN</v>
      </c>
      <c r="X23" s="11">
        <v>45993</v>
      </c>
      <c r="Y23" s="4" t="str">
        <f t="shared" ca="1" si="4"/>
        <v>0 TAHUN 4 BULAN</v>
      </c>
      <c r="Z23" s="4" t="s">
        <v>69</v>
      </c>
      <c r="AA23" s="38" t="s">
        <v>333</v>
      </c>
      <c r="AB23" s="4" t="s">
        <v>129</v>
      </c>
      <c r="AC23" s="38" t="s">
        <v>334</v>
      </c>
      <c r="AD23" s="38" t="s">
        <v>335</v>
      </c>
      <c r="AE23" s="56" t="s">
        <v>336</v>
      </c>
      <c r="AF23" s="4" t="s">
        <v>604</v>
      </c>
      <c r="AG23" s="29">
        <v>46305</v>
      </c>
    </row>
    <row r="24" spans="1:33" x14ac:dyDescent="0.25">
      <c r="A24" s="6">
        <f t="shared" si="5"/>
        <v>22</v>
      </c>
      <c r="B24" s="4" t="s">
        <v>36</v>
      </c>
      <c r="C24" s="14" t="s">
        <v>376</v>
      </c>
      <c r="D24" s="37" t="s">
        <v>241</v>
      </c>
      <c r="E24" s="37" t="s">
        <v>252</v>
      </c>
      <c r="F24" s="35" t="s">
        <v>37</v>
      </c>
      <c r="G24" s="6"/>
      <c r="H24" s="14" t="s">
        <v>165</v>
      </c>
      <c r="I24" s="25" t="s">
        <v>259</v>
      </c>
      <c r="J24" s="46" t="s">
        <v>143</v>
      </c>
      <c r="K24" s="46" t="s">
        <v>143</v>
      </c>
      <c r="L24" s="46" t="s">
        <v>143</v>
      </c>
      <c r="M24" s="47" t="s">
        <v>143</v>
      </c>
      <c r="N24" s="48" t="s">
        <v>149</v>
      </c>
      <c r="O24" s="48" t="s">
        <v>150</v>
      </c>
      <c r="P24" s="14" t="s">
        <v>32</v>
      </c>
      <c r="Q24" s="27">
        <v>82350537463</v>
      </c>
      <c r="R24" s="4" t="s">
        <v>23</v>
      </c>
      <c r="S24" s="4" t="s">
        <v>64</v>
      </c>
      <c r="T24" s="4" t="s">
        <v>24</v>
      </c>
      <c r="U24" s="4" t="s">
        <v>329</v>
      </c>
      <c r="V24" s="9">
        <v>38106</v>
      </c>
      <c r="W24" s="10" t="str">
        <f t="shared" ref="W24:W28" ca="1" si="6">DATEDIF(V24,TODAY(),"Y")&amp;" TAHUN "&amp;DATEDIF(V24,TODAY(),"YM")&amp;" BULAN"</f>
        <v>21 TAHUN 11 BULAN</v>
      </c>
      <c r="X24" s="11">
        <v>45993</v>
      </c>
      <c r="Y24" s="4" t="str">
        <f t="shared" ca="1" si="4"/>
        <v>0 TAHUN 4 BULAN</v>
      </c>
      <c r="Z24" s="4" t="s">
        <v>69</v>
      </c>
      <c r="AA24" s="38" t="s">
        <v>172</v>
      </c>
      <c r="AB24" s="4" t="s">
        <v>129</v>
      </c>
      <c r="AC24" s="38" t="s">
        <v>330</v>
      </c>
      <c r="AD24" s="38" t="s">
        <v>69</v>
      </c>
      <c r="AE24" s="38" t="s">
        <v>331</v>
      </c>
      <c r="AF24" s="4" t="s">
        <v>605</v>
      </c>
      <c r="AG24" s="29">
        <v>46305</v>
      </c>
    </row>
    <row r="25" spans="1:33" x14ac:dyDescent="0.25">
      <c r="A25" s="6">
        <f t="shared" si="5"/>
        <v>23</v>
      </c>
      <c r="B25" s="4" t="s">
        <v>36</v>
      </c>
      <c r="C25" s="14" t="s">
        <v>377</v>
      </c>
      <c r="D25" s="37" t="s">
        <v>242</v>
      </c>
      <c r="E25" s="37" t="s">
        <v>252</v>
      </c>
      <c r="F25" s="35" t="s">
        <v>37</v>
      </c>
      <c r="G25" s="6"/>
      <c r="H25" s="14" t="s">
        <v>165</v>
      </c>
      <c r="I25" s="24" t="s">
        <v>260</v>
      </c>
      <c r="J25" s="46" t="s">
        <v>276</v>
      </c>
      <c r="K25" s="46" t="s">
        <v>276</v>
      </c>
      <c r="L25" s="46" t="s">
        <v>284</v>
      </c>
      <c r="M25" s="47" t="s">
        <v>285</v>
      </c>
      <c r="N25" s="48" t="s">
        <v>149</v>
      </c>
      <c r="O25" s="48" t="s">
        <v>150</v>
      </c>
      <c r="P25" s="14" t="s">
        <v>32</v>
      </c>
      <c r="Q25" s="27">
        <v>82297452048</v>
      </c>
      <c r="R25" s="4" t="s">
        <v>23</v>
      </c>
      <c r="S25" s="4" t="s">
        <v>64</v>
      </c>
      <c r="T25" s="19" t="s">
        <v>24</v>
      </c>
      <c r="U25" s="4" t="s">
        <v>296</v>
      </c>
      <c r="V25" s="9">
        <v>38579</v>
      </c>
      <c r="W25" s="10" t="str">
        <f t="shared" ca="1" si="6"/>
        <v>20 TAHUN 7 BULAN</v>
      </c>
      <c r="X25" s="11">
        <v>45993</v>
      </c>
      <c r="Y25" s="4" t="str">
        <f t="shared" ca="1" si="4"/>
        <v>0 TAHUN 4 BULAN</v>
      </c>
      <c r="Z25" s="4" t="s">
        <v>69</v>
      </c>
      <c r="AA25" s="38" t="s">
        <v>297</v>
      </c>
      <c r="AB25" s="4" t="s">
        <v>129</v>
      </c>
      <c r="AC25" s="38" t="s">
        <v>298</v>
      </c>
      <c r="AD25" s="38" t="s">
        <v>69</v>
      </c>
      <c r="AE25" s="38" t="s">
        <v>299</v>
      </c>
      <c r="AF25" s="4" t="s">
        <v>606</v>
      </c>
      <c r="AG25" s="29">
        <v>46305</v>
      </c>
    </row>
    <row r="26" spans="1:33" x14ac:dyDescent="0.25">
      <c r="A26" s="6">
        <f t="shared" si="5"/>
        <v>24</v>
      </c>
      <c r="B26" s="4" t="s">
        <v>36</v>
      </c>
      <c r="C26" s="14" t="s">
        <v>378</v>
      </c>
      <c r="D26" s="37" t="s">
        <v>243</v>
      </c>
      <c r="E26" s="37" t="s">
        <v>252</v>
      </c>
      <c r="F26" s="35" t="s">
        <v>37</v>
      </c>
      <c r="G26" s="6"/>
      <c r="H26" s="14" t="s">
        <v>165</v>
      </c>
      <c r="I26" s="25" t="s">
        <v>261</v>
      </c>
      <c r="J26" s="46" t="s">
        <v>277</v>
      </c>
      <c r="K26" s="46" t="s">
        <v>277</v>
      </c>
      <c r="L26" s="46" t="s">
        <v>285</v>
      </c>
      <c r="M26" s="47" t="s">
        <v>285</v>
      </c>
      <c r="N26" s="48" t="s">
        <v>149</v>
      </c>
      <c r="O26" s="48" t="s">
        <v>150</v>
      </c>
      <c r="P26" s="14" t="s">
        <v>32</v>
      </c>
      <c r="Q26" s="27">
        <v>82315537179</v>
      </c>
      <c r="R26" s="4" t="s">
        <v>23</v>
      </c>
      <c r="S26" s="4" t="s">
        <v>65</v>
      </c>
      <c r="T26" s="19" t="s">
        <v>24</v>
      </c>
      <c r="U26" s="4" t="s">
        <v>286</v>
      </c>
      <c r="V26" s="9">
        <v>36190</v>
      </c>
      <c r="W26" s="10" t="str">
        <f t="shared" ca="1" si="6"/>
        <v>27 TAHUN 2 BULAN</v>
      </c>
      <c r="X26" s="11">
        <v>45993</v>
      </c>
      <c r="Y26" s="4" t="str">
        <f t="shared" ca="1" si="4"/>
        <v>0 TAHUN 4 BULAN</v>
      </c>
      <c r="Z26" s="4" t="s">
        <v>69</v>
      </c>
      <c r="AA26" s="38" t="s">
        <v>348</v>
      </c>
      <c r="AB26" s="4" t="s">
        <v>129</v>
      </c>
      <c r="AC26" s="38" t="s">
        <v>349</v>
      </c>
      <c r="AD26" s="38" t="s">
        <v>69</v>
      </c>
      <c r="AE26" s="38" t="s">
        <v>350</v>
      </c>
      <c r="AF26" s="4" t="s">
        <v>607</v>
      </c>
      <c r="AG26" s="29">
        <v>46305</v>
      </c>
    </row>
    <row r="27" spans="1:33" x14ac:dyDescent="0.25">
      <c r="A27" s="6">
        <f t="shared" si="5"/>
        <v>25</v>
      </c>
      <c r="B27" s="4" t="s">
        <v>36</v>
      </c>
      <c r="C27" s="14" t="s">
        <v>379</v>
      </c>
      <c r="D27" s="37" t="s">
        <v>325</v>
      </c>
      <c r="E27" s="37" t="s">
        <v>252</v>
      </c>
      <c r="F27" s="35" t="s">
        <v>37</v>
      </c>
      <c r="G27" s="6"/>
      <c r="H27" s="14" t="s">
        <v>165</v>
      </c>
      <c r="I27" s="25" t="s">
        <v>262</v>
      </c>
      <c r="J27" s="46" t="s">
        <v>278</v>
      </c>
      <c r="K27" s="46" t="s">
        <v>278</v>
      </c>
      <c r="L27" s="46" t="s">
        <v>286</v>
      </c>
      <c r="M27" s="47" t="s">
        <v>49</v>
      </c>
      <c r="N27" s="48" t="s">
        <v>149</v>
      </c>
      <c r="O27" s="48" t="s">
        <v>150</v>
      </c>
      <c r="P27" s="14" t="s">
        <v>32</v>
      </c>
      <c r="Q27" s="27">
        <v>85345672250</v>
      </c>
      <c r="R27" s="4" t="s">
        <v>23</v>
      </c>
      <c r="S27" s="4" t="s">
        <v>64</v>
      </c>
      <c r="T27" s="4" t="s">
        <v>24</v>
      </c>
      <c r="U27" s="4" t="s">
        <v>286</v>
      </c>
      <c r="V27" s="9">
        <v>36733</v>
      </c>
      <c r="W27" s="10" t="str">
        <f t="shared" ca="1" si="6"/>
        <v>25 TAHUN 8 BULAN</v>
      </c>
      <c r="X27" s="11">
        <v>45996</v>
      </c>
      <c r="Y27" s="4" t="str">
        <f t="shared" ca="1" si="4"/>
        <v>0 TAHUN 4 BULAN</v>
      </c>
      <c r="Z27" s="4" t="s">
        <v>69</v>
      </c>
      <c r="AA27" s="38" t="s">
        <v>326</v>
      </c>
      <c r="AB27" s="4" t="s">
        <v>129</v>
      </c>
      <c r="AC27" s="38" t="s">
        <v>327</v>
      </c>
      <c r="AD27" s="38" t="s">
        <v>69</v>
      </c>
      <c r="AE27" s="38" t="s">
        <v>328</v>
      </c>
      <c r="AF27" s="4" t="s">
        <v>608</v>
      </c>
      <c r="AG27" s="29">
        <v>46305</v>
      </c>
    </row>
    <row r="28" spans="1:33" x14ac:dyDescent="0.25">
      <c r="A28" s="6">
        <f t="shared" si="5"/>
        <v>26</v>
      </c>
      <c r="B28" s="4" t="s">
        <v>36</v>
      </c>
      <c r="C28" s="14" t="s">
        <v>380</v>
      </c>
      <c r="D28" s="37" t="s">
        <v>244</v>
      </c>
      <c r="E28" s="37" t="s">
        <v>253</v>
      </c>
      <c r="F28" s="35" t="s">
        <v>37</v>
      </c>
      <c r="G28" s="6"/>
      <c r="H28" s="14" t="s">
        <v>165</v>
      </c>
      <c r="I28" s="26" t="s">
        <v>263</v>
      </c>
      <c r="J28" s="46" t="s">
        <v>279</v>
      </c>
      <c r="K28" s="46" t="s">
        <v>279</v>
      </c>
      <c r="L28" s="46" t="s">
        <v>287</v>
      </c>
      <c r="M28" s="47" t="s">
        <v>143</v>
      </c>
      <c r="N28" s="48" t="s">
        <v>149</v>
      </c>
      <c r="O28" s="48" t="s">
        <v>150</v>
      </c>
      <c r="P28" s="14" t="s">
        <v>32</v>
      </c>
      <c r="Q28" s="27">
        <v>85213164394</v>
      </c>
      <c r="R28" s="4" t="s">
        <v>23</v>
      </c>
      <c r="S28" s="4" t="s">
        <v>197</v>
      </c>
      <c r="T28" s="4" t="s">
        <v>24</v>
      </c>
      <c r="U28" s="4" t="s">
        <v>313</v>
      </c>
      <c r="V28" s="9">
        <v>35622</v>
      </c>
      <c r="W28" s="10" t="str">
        <f t="shared" ca="1" si="6"/>
        <v>28 TAHUN 8 BULAN</v>
      </c>
      <c r="X28" s="11">
        <v>45993</v>
      </c>
      <c r="Y28" s="4" t="str">
        <f t="shared" ca="1" si="4"/>
        <v>0 TAHUN 4 BULAN</v>
      </c>
      <c r="Z28" s="4" t="s">
        <v>69</v>
      </c>
      <c r="AA28" s="38" t="s">
        <v>337</v>
      </c>
      <c r="AB28" s="4" t="s">
        <v>129</v>
      </c>
      <c r="AC28" s="38" t="s">
        <v>370</v>
      </c>
      <c r="AD28" s="38" t="s">
        <v>338</v>
      </c>
      <c r="AE28" s="38" t="s">
        <v>339</v>
      </c>
      <c r="AF28" s="4" t="s">
        <v>609</v>
      </c>
      <c r="AG28" s="29">
        <v>46308</v>
      </c>
    </row>
    <row r="29" spans="1:33" x14ac:dyDescent="0.25">
      <c r="A29" s="6">
        <f t="shared" si="5"/>
        <v>27</v>
      </c>
      <c r="B29" s="4" t="s">
        <v>36</v>
      </c>
      <c r="C29" s="14" t="s">
        <v>381</v>
      </c>
      <c r="D29" s="37" t="s">
        <v>245</v>
      </c>
      <c r="E29" s="37" t="s">
        <v>253</v>
      </c>
      <c r="F29" s="35" t="s">
        <v>37</v>
      </c>
      <c r="G29" s="6"/>
      <c r="H29" s="14" t="s">
        <v>165</v>
      </c>
      <c r="I29" s="24" t="s">
        <v>264</v>
      </c>
      <c r="J29" s="46" t="s">
        <v>280</v>
      </c>
      <c r="K29" s="46" t="s">
        <v>280</v>
      </c>
      <c r="L29" s="46" t="s">
        <v>288</v>
      </c>
      <c r="M29" s="47" t="s">
        <v>143</v>
      </c>
      <c r="N29" s="48" t="s">
        <v>149</v>
      </c>
      <c r="O29" s="48" t="s">
        <v>150</v>
      </c>
      <c r="P29" s="14" t="s">
        <v>32</v>
      </c>
      <c r="Q29" s="27">
        <v>82190456265</v>
      </c>
      <c r="R29" s="4" t="s">
        <v>23</v>
      </c>
      <c r="S29" s="4" t="s">
        <v>197</v>
      </c>
      <c r="T29" s="4" t="s">
        <v>24</v>
      </c>
      <c r="U29" s="4" t="s">
        <v>288</v>
      </c>
      <c r="V29" s="9">
        <v>33233</v>
      </c>
      <c r="W29" s="10" t="str">
        <f t="shared" ref="W29:W30" ca="1" si="7">DATEDIF(V29,TODAY(),"Y")&amp;" TAHUN "&amp;DATEDIF(V29,TODAY(),"YM")&amp;" BULAN"</f>
        <v>35 TAHUN 3 BULAN</v>
      </c>
      <c r="X29" s="11">
        <v>45993</v>
      </c>
      <c r="Y29" s="4" t="str">
        <f t="shared" ca="1" si="4"/>
        <v>0 TAHUN 4 BULAN</v>
      </c>
      <c r="Z29" s="4" t="s">
        <v>69</v>
      </c>
      <c r="AA29" s="38" t="s">
        <v>175</v>
      </c>
      <c r="AB29" s="4" t="s">
        <v>129</v>
      </c>
      <c r="AC29" s="38" t="s">
        <v>322</v>
      </c>
      <c r="AD29" s="38" t="s">
        <v>323</v>
      </c>
      <c r="AE29" s="38" t="s">
        <v>324</v>
      </c>
      <c r="AF29" s="4" t="s">
        <v>610</v>
      </c>
      <c r="AG29" s="29">
        <v>46306</v>
      </c>
    </row>
    <row r="30" spans="1:33" x14ac:dyDescent="0.25">
      <c r="A30" s="6">
        <f t="shared" si="5"/>
        <v>28</v>
      </c>
      <c r="B30" s="4" t="s">
        <v>36</v>
      </c>
      <c r="C30" s="14" t="s">
        <v>382</v>
      </c>
      <c r="D30" s="37" t="s">
        <v>246</v>
      </c>
      <c r="E30" s="44" t="s">
        <v>253</v>
      </c>
      <c r="F30" s="35" t="s">
        <v>37</v>
      </c>
      <c r="G30" s="6"/>
      <c r="H30" s="14" t="s">
        <v>165</v>
      </c>
      <c r="I30" s="25" t="s">
        <v>265</v>
      </c>
      <c r="J30" s="47" t="s">
        <v>268</v>
      </c>
      <c r="K30" s="47" t="s">
        <v>268</v>
      </c>
      <c r="L30" s="46" t="s">
        <v>289</v>
      </c>
      <c r="M30" s="47" t="s">
        <v>293</v>
      </c>
      <c r="N30" s="47" t="s">
        <v>295</v>
      </c>
      <c r="O30" s="48" t="s">
        <v>150</v>
      </c>
      <c r="P30" s="14" t="s">
        <v>32</v>
      </c>
      <c r="Q30" s="27">
        <v>81356552119</v>
      </c>
      <c r="R30" s="4" t="s">
        <v>23</v>
      </c>
      <c r="S30" s="4" t="s">
        <v>63</v>
      </c>
      <c r="T30" s="4" t="s">
        <v>66</v>
      </c>
      <c r="U30" s="4" t="s">
        <v>286</v>
      </c>
      <c r="V30" s="9">
        <v>31169</v>
      </c>
      <c r="W30" s="10" t="str">
        <f t="shared" ca="1" si="7"/>
        <v>40 TAHUN 11 BULAN</v>
      </c>
      <c r="X30" s="11">
        <v>45996</v>
      </c>
      <c r="Y30" s="4" t="str">
        <f t="shared" ca="1" si="4"/>
        <v>0 TAHUN 4 BULAN</v>
      </c>
      <c r="Z30" s="4" t="s">
        <v>69</v>
      </c>
      <c r="AA30" s="38" t="s">
        <v>345</v>
      </c>
      <c r="AB30" s="4" t="s">
        <v>129</v>
      </c>
      <c r="AC30" s="38" t="s">
        <v>346</v>
      </c>
      <c r="AD30" s="38" t="s">
        <v>69</v>
      </c>
      <c r="AE30" s="38" t="s">
        <v>347</v>
      </c>
      <c r="AF30" s="4" t="s">
        <v>611</v>
      </c>
      <c r="AG30" s="29">
        <v>46123</v>
      </c>
    </row>
    <row r="31" spans="1:33" x14ac:dyDescent="0.25">
      <c r="A31" s="6">
        <f t="shared" si="5"/>
        <v>29</v>
      </c>
      <c r="B31" s="4" t="s">
        <v>36</v>
      </c>
      <c r="C31" s="14" t="s">
        <v>383</v>
      </c>
      <c r="D31" s="37" t="s">
        <v>247</v>
      </c>
      <c r="E31" s="37" t="s">
        <v>252</v>
      </c>
      <c r="F31" s="35" t="s">
        <v>37</v>
      </c>
      <c r="G31" s="6"/>
      <c r="H31" s="14" t="s">
        <v>165</v>
      </c>
      <c r="I31" s="25" t="s">
        <v>266</v>
      </c>
      <c r="J31" s="47" t="s">
        <v>269</v>
      </c>
      <c r="K31" s="47" t="s">
        <v>269</v>
      </c>
      <c r="L31" s="46" t="s">
        <v>290</v>
      </c>
      <c r="M31" s="47" t="s">
        <v>294</v>
      </c>
      <c r="N31" s="47" t="s">
        <v>205</v>
      </c>
      <c r="O31" s="48" t="s">
        <v>150</v>
      </c>
      <c r="P31" s="14" t="s">
        <v>32</v>
      </c>
      <c r="Q31" s="27">
        <v>82259205171</v>
      </c>
      <c r="R31" s="4" t="s">
        <v>23</v>
      </c>
      <c r="S31" s="4" t="s">
        <v>64</v>
      </c>
      <c r="T31" s="4" t="s">
        <v>24</v>
      </c>
      <c r="U31" s="4" t="s">
        <v>290</v>
      </c>
      <c r="V31" s="9">
        <v>37480</v>
      </c>
      <c r="W31" s="10" t="str">
        <f t="shared" ref="W31:W93" ca="1" si="8">DATEDIF(V31,TODAY(),"Y")&amp;" TAHUN "&amp;DATEDIF(V31,TODAY(),"YM")&amp;" BULAN"</f>
        <v>23 TAHUN 7 BULAN</v>
      </c>
      <c r="X31" s="11">
        <v>45993</v>
      </c>
      <c r="Y31" s="4" t="str">
        <f t="shared" ca="1" si="4"/>
        <v>0 TAHUN 4 BULAN</v>
      </c>
      <c r="Z31" s="4" t="s">
        <v>69</v>
      </c>
      <c r="AA31" s="38" t="s">
        <v>310</v>
      </c>
      <c r="AB31" s="4" t="s">
        <v>129</v>
      </c>
      <c r="AC31" s="38" t="s">
        <v>311</v>
      </c>
      <c r="AD31" s="38" t="s">
        <v>69</v>
      </c>
      <c r="AE31" s="38" t="s">
        <v>312</v>
      </c>
      <c r="AF31" s="4" t="s">
        <v>612</v>
      </c>
      <c r="AG31" s="29">
        <v>46311</v>
      </c>
    </row>
    <row r="32" spans="1:33" x14ac:dyDescent="0.25">
      <c r="A32" s="6">
        <f t="shared" si="5"/>
        <v>30</v>
      </c>
      <c r="B32" s="4" t="s">
        <v>36</v>
      </c>
      <c r="C32" s="14" t="s">
        <v>384</v>
      </c>
      <c r="D32" s="37" t="s">
        <v>248</v>
      </c>
      <c r="E32" s="37" t="s">
        <v>252</v>
      </c>
      <c r="F32" s="35" t="s">
        <v>37</v>
      </c>
      <c r="G32" s="6"/>
      <c r="H32" s="14" t="s">
        <v>165</v>
      </c>
      <c r="I32" s="25" t="s">
        <v>267</v>
      </c>
      <c r="J32" s="46" t="s">
        <v>270</v>
      </c>
      <c r="K32" s="46" t="s">
        <v>270</v>
      </c>
      <c r="L32" s="46" t="s">
        <v>291</v>
      </c>
      <c r="M32" s="47" t="s">
        <v>285</v>
      </c>
      <c r="N32" s="47" t="s">
        <v>205</v>
      </c>
      <c r="O32" s="48" t="s">
        <v>150</v>
      </c>
      <c r="P32" s="14" t="s">
        <v>32</v>
      </c>
      <c r="Q32" s="27">
        <v>82319181798</v>
      </c>
      <c r="R32" s="4" t="s">
        <v>23</v>
      </c>
      <c r="S32" s="4" t="s">
        <v>65</v>
      </c>
      <c r="T32" s="4" t="s">
        <v>24</v>
      </c>
      <c r="U32" s="4" t="s">
        <v>313</v>
      </c>
      <c r="V32" s="9">
        <v>35562</v>
      </c>
      <c r="W32" s="10" t="str">
        <f t="shared" ca="1" si="8"/>
        <v>28 TAHUN 10 BULAN</v>
      </c>
      <c r="X32" s="11">
        <v>45993</v>
      </c>
      <c r="Y32" s="4" t="str">
        <f t="shared" ca="1" si="4"/>
        <v>0 TAHUN 4 BULAN</v>
      </c>
      <c r="Z32" s="4" t="s">
        <v>69</v>
      </c>
      <c r="AA32" s="38" t="s">
        <v>314</v>
      </c>
      <c r="AB32" s="4" t="s">
        <v>129</v>
      </c>
      <c r="AC32" s="38" t="s">
        <v>315</v>
      </c>
      <c r="AD32" s="38" t="s">
        <v>69</v>
      </c>
      <c r="AE32" s="56" t="s">
        <v>316</v>
      </c>
      <c r="AF32" s="4" t="s">
        <v>613</v>
      </c>
      <c r="AG32" s="29">
        <v>46311</v>
      </c>
    </row>
    <row r="33" spans="1:33" x14ac:dyDescent="0.25">
      <c r="A33" s="6">
        <f t="shared" si="5"/>
        <v>31</v>
      </c>
      <c r="B33" s="4" t="s">
        <v>36</v>
      </c>
      <c r="C33" s="14" t="s">
        <v>385</v>
      </c>
      <c r="D33" s="37" t="s">
        <v>249</v>
      </c>
      <c r="E33" s="37" t="s">
        <v>252</v>
      </c>
      <c r="F33" s="35" t="s">
        <v>37</v>
      </c>
      <c r="G33" s="6"/>
      <c r="H33" s="14" t="s">
        <v>165</v>
      </c>
      <c r="I33" s="25" t="s">
        <v>351</v>
      </c>
      <c r="J33" s="38" t="s">
        <v>352</v>
      </c>
      <c r="K33" s="38" t="s">
        <v>352</v>
      </c>
      <c r="L33" s="38" t="s">
        <v>353</v>
      </c>
      <c r="M33" s="38" t="s">
        <v>285</v>
      </c>
      <c r="N33" s="38" t="s">
        <v>205</v>
      </c>
      <c r="O33" s="48" t="s">
        <v>150</v>
      </c>
      <c r="P33" s="14" t="s">
        <v>32</v>
      </c>
      <c r="Q33" s="27">
        <v>81354583472</v>
      </c>
      <c r="R33" s="4" t="s">
        <v>23</v>
      </c>
      <c r="S33" s="4" t="s">
        <v>65</v>
      </c>
      <c r="T33" s="4" t="s">
        <v>66</v>
      </c>
      <c r="U33" s="4" t="s">
        <v>354</v>
      </c>
      <c r="V33" s="9">
        <v>33937</v>
      </c>
      <c r="W33" s="10" t="str">
        <f t="shared" ca="1" si="8"/>
        <v>33 TAHUN 4 BULAN</v>
      </c>
      <c r="X33" s="11">
        <v>45993</v>
      </c>
      <c r="Y33" s="4" t="str">
        <f t="shared" ca="1" si="4"/>
        <v>0 TAHUN 4 BULAN</v>
      </c>
      <c r="Z33" s="4" t="s">
        <v>69</v>
      </c>
      <c r="AA33" s="38" t="s">
        <v>355</v>
      </c>
      <c r="AB33" s="4" t="s">
        <v>129</v>
      </c>
      <c r="AC33" s="38" t="s">
        <v>356</v>
      </c>
      <c r="AD33" s="38" t="s">
        <v>357</v>
      </c>
      <c r="AE33" s="38" t="s">
        <v>358</v>
      </c>
      <c r="AF33" s="4" t="s">
        <v>614</v>
      </c>
      <c r="AG33" s="29">
        <v>46311</v>
      </c>
    </row>
    <row r="34" spans="1:33" x14ac:dyDescent="0.25">
      <c r="A34" s="6">
        <f t="shared" si="5"/>
        <v>32</v>
      </c>
      <c r="B34" s="4" t="s">
        <v>36</v>
      </c>
      <c r="C34" s="14" t="s">
        <v>386</v>
      </c>
      <c r="D34" s="37" t="s">
        <v>250</v>
      </c>
      <c r="E34" s="37" t="s">
        <v>252</v>
      </c>
      <c r="F34" s="35" t="s">
        <v>37</v>
      </c>
      <c r="G34" s="6"/>
      <c r="H34" s="14" t="s">
        <v>165</v>
      </c>
      <c r="I34" s="25" t="s">
        <v>359</v>
      </c>
      <c r="J34" s="38" t="s">
        <v>360</v>
      </c>
      <c r="K34" s="38" t="s">
        <v>360</v>
      </c>
      <c r="L34" s="38" t="s">
        <v>281</v>
      </c>
      <c r="M34" s="38" t="s">
        <v>286</v>
      </c>
      <c r="N34" s="38" t="s">
        <v>205</v>
      </c>
      <c r="O34" s="48" t="s">
        <v>150</v>
      </c>
      <c r="P34" s="14" t="s">
        <v>32</v>
      </c>
      <c r="Q34" s="27">
        <v>85257954553</v>
      </c>
      <c r="R34" s="4" t="s">
        <v>23</v>
      </c>
      <c r="S34" s="4" t="s">
        <v>65</v>
      </c>
      <c r="T34" s="4" t="s">
        <v>24</v>
      </c>
      <c r="U34" s="4" t="s">
        <v>281</v>
      </c>
      <c r="V34" s="9">
        <v>36603</v>
      </c>
      <c r="W34" s="10" t="str">
        <f t="shared" ca="1" si="8"/>
        <v>26 TAHUN 0 BULAN</v>
      </c>
      <c r="X34" s="11">
        <v>45993</v>
      </c>
      <c r="Y34" s="4" t="str">
        <f t="shared" ca="1" si="4"/>
        <v>0 TAHUN 4 BULAN</v>
      </c>
      <c r="Z34" s="4" t="s">
        <v>69</v>
      </c>
      <c r="AA34" s="38" t="s">
        <v>361</v>
      </c>
      <c r="AB34" s="4" t="s">
        <v>129</v>
      </c>
      <c r="AC34" s="38" t="s">
        <v>362</v>
      </c>
      <c r="AD34" s="38" t="s">
        <v>69</v>
      </c>
      <c r="AE34" s="38" t="s">
        <v>363</v>
      </c>
      <c r="AF34" s="4" t="s">
        <v>615</v>
      </c>
      <c r="AG34" s="29">
        <v>46314</v>
      </c>
    </row>
    <row r="35" spans="1:33" x14ac:dyDescent="0.25">
      <c r="A35" s="6">
        <f t="shared" si="5"/>
        <v>33</v>
      </c>
      <c r="B35" s="4" t="s">
        <v>36</v>
      </c>
      <c r="C35" s="14" t="s">
        <v>387</v>
      </c>
      <c r="D35" s="37" t="s">
        <v>251</v>
      </c>
      <c r="E35" s="37" t="s">
        <v>253</v>
      </c>
      <c r="F35" s="35" t="s">
        <v>37</v>
      </c>
      <c r="G35" s="6"/>
      <c r="H35" s="14" t="s">
        <v>165</v>
      </c>
      <c r="I35" s="25" t="s">
        <v>364</v>
      </c>
      <c r="J35" s="38" t="s">
        <v>365</v>
      </c>
      <c r="K35" s="38" t="s">
        <v>365</v>
      </c>
      <c r="L35" s="38" t="s">
        <v>291</v>
      </c>
      <c r="M35" s="38" t="s">
        <v>285</v>
      </c>
      <c r="N35" s="38" t="s">
        <v>205</v>
      </c>
      <c r="O35" s="48" t="s">
        <v>150</v>
      </c>
      <c r="P35" s="14" t="s">
        <v>32</v>
      </c>
      <c r="Q35" s="27">
        <v>82292907801</v>
      </c>
      <c r="R35" s="4" t="s">
        <v>23</v>
      </c>
      <c r="S35" s="4" t="s">
        <v>65</v>
      </c>
      <c r="T35" s="4" t="s">
        <v>24</v>
      </c>
      <c r="U35" s="4" t="s">
        <v>366</v>
      </c>
      <c r="V35" s="9">
        <v>36443</v>
      </c>
      <c r="W35" s="10" t="str">
        <f t="shared" ca="1" si="8"/>
        <v>26 TAHUN 5 BULAN</v>
      </c>
      <c r="X35" s="11">
        <v>45993</v>
      </c>
      <c r="Y35" s="4" t="str">
        <f t="shared" ca="1" si="4"/>
        <v>0 TAHUN 4 BULAN</v>
      </c>
      <c r="Z35" s="4" t="s">
        <v>69</v>
      </c>
      <c r="AA35" s="38" t="s">
        <v>367</v>
      </c>
      <c r="AB35" s="4" t="s">
        <v>129</v>
      </c>
      <c r="AC35" s="38" t="s">
        <v>368</v>
      </c>
      <c r="AD35" s="38" t="s">
        <v>69</v>
      </c>
      <c r="AE35" s="38" t="s">
        <v>369</v>
      </c>
      <c r="AF35" s="4" t="s">
        <v>616</v>
      </c>
      <c r="AG35" s="29">
        <v>46311</v>
      </c>
    </row>
    <row r="36" spans="1:33" x14ac:dyDescent="0.25">
      <c r="A36" s="6">
        <f t="shared" si="5"/>
        <v>34</v>
      </c>
      <c r="B36" s="4" t="s">
        <v>36</v>
      </c>
      <c r="C36" s="4" t="s">
        <v>861</v>
      </c>
      <c r="D36" s="38" t="s">
        <v>388</v>
      </c>
      <c r="E36" s="45" t="s">
        <v>252</v>
      </c>
      <c r="F36" s="35" t="s">
        <v>37</v>
      </c>
      <c r="G36" s="6"/>
      <c r="H36" s="14" t="s">
        <v>165</v>
      </c>
      <c r="I36" s="12" t="s">
        <v>422</v>
      </c>
      <c r="J36" s="38" t="s">
        <v>455</v>
      </c>
      <c r="K36" s="38" t="s">
        <v>455</v>
      </c>
      <c r="L36" s="38" t="s">
        <v>485</v>
      </c>
      <c r="M36" s="38" t="s">
        <v>502</v>
      </c>
      <c r="N36" s="38" t="s">
        <v>513</v>
      </c>
      <c r="O36" s="48" t="s">
        <v>150</v>
      </c>
      <c r="P36" s="4" t="s">
        <v>516</v>
      </c>
      <c r="Q36" s="4">
        <v>81355029013</v>
      </c>
      <c r="R36" s="4" t="s">
        <v>23</v>
      </c>
      <c r="S36" s="4" t="s">
        <v>64</v>
      </c>
      <c r="T36" s="4" t="s">
        <v>24</v>
      </c>
      <c r="U36" s="4" t="s">
        <v>485</v>
      </c>
      <c r="V36" s="9">
        <v>36521</v>
      </c>
      <c r="W36" s="10" t="str">
        <f t="shared" ca="1" si="8"/>
        <v>26 TAHUN 3 BULAN</v>
      </c>
      <c r="X36" s="11">
        <v>46042</v>
      </c>
      <c r="Y36" s="4" t="str">
        <f t="shared" ca="1" si="4"/>
        <v>0 TAHUN 2 BULAN</v>
      </c>
      <c r="Z36" s="4" t="s">
        <v>69</v>
      </c>
      <c r="AA36" s="38" t="s">
        <v>535</v>
      </c>
      <c r="AB36" s="4" t="s">
        <v>129</v>
      </c>
      <c r="AC36" s="38" t="s">
        <v>662</v>
      </c>
      <c r="AD36" s="38" t="s">
        <v>69</v>
      </c>
      <c r="AE36" s="56" t="s">
        <v>565</v>
      </c>
      <c r="AF36" s="4" t="s">
        <v>862</v>
      </c>
      <c r="AG36" s="29" t="s">
        <v>804</v>
      </c>
    </row>
    <row r="37" spans="1:33" x14ac:dyDescent="0.25">
      <c r="A37" s="6">
        <f t="shared" si="5"/>
        <v>35</v>
      </c>
      <c r="B37" s="4" t="s">
        <v>36</v>
      </c>
      <c r="C37" s="4" t="s">
        <v>838</v>
      </c>
      <c r="D37" s="38" t="s">
        <v>389</v>
      </c>
      <c r="E37" s="45" t="s">
        <v>252</v>
      </c>
      <c r="F37" s="35" t="s">
        <v>37</v>
      </c>
      <c r="G37" s="6"/>
      <c r="H37" s="14" t="s">
        <v>165</v>
      </c>
      <c r="I37" s="12" t="s">
        <v>423</v>
      </c>
      <c r="J37" s="38" t="s">
        <v>456</v>
      </c>
      <c r="K37" s="38" t="s">
        <v>456</v>
      </c>
      <c r="L37" s="38" t="s">
        <v>486</v>
      </c>
      <c r="M37" s="38" t="s">
        <v>503</v>
      </c>
      <c r="N37" s="38" t="s">
        <v>149</v>
      </c>
      <c r="O37" s="48" t="s">
        <v>150</v>
      </c>
      <c r="P37" s="4" t="s">
        <v>517</v>
      </c>
      <c r="Q37" s="4">
        <v>82290753407</v>
      </c>
      <c r="R37" s="4" t="s">
        <v>23</v>
      </c>
      <c r="S37" s="4" t="s">
        <v>65</v>
      </c>
      <c r="T37" s="4" t="s">
        <v>24</v>
      </c>
      <c r="U37" s="4" t="s">
        <v>287</v>
      </c>
      <c r="V37" s="9">
        <v>36135</v>
      </c>
      <c r="W37" s="10" t="str">
        <f t="shared" ca="1" si="8"/>
        <v>27 TAHUN 4 BULAN</v>
      </c>
      <c r="X37" s="11">
        <v>46059</v>
      </c>
      <c r="Y37" s="4" t="str">
        <f t="shared" ca="1" si="4"/>
        <v>0 TAHUN 2 BULAN</v>
      </c>
      <c r="Z37" s="4" t="s">
        <v>69</v>
      </c>
      <c r="AA37" s="38" t="s">
        <v>536</v>
      </c>
      <c r="AB37" s="4" t="s">
        <v>129</v>
      </c>
      <c r="AC37" s="38" t="s">
        <v>648</v>
      </c>
      <c r="AD37" s="38" t="s">
        <v>649</v>
      </c>
      <c r="AE37" s="38" t="s">
        <v>566</v>
      </c>
      <c r="AF37" s="4" t="s">
        <v>839</v>
      </c>
      <c r="AG37" s="4" t="s">
        <v>818</v>
      </c>
    </row>
    <row r="38" spans="1:33" x14ac:dyDescent="0.25">
      <c r="A38" s="6">
        <f t="shared" si="5"/>
        <v>36</v>
      </c>
      <c r="B38" s="4" t="s">
        <v>36</v>
      </c>
      <c r="C38" s="4"/>
      <c r="D38" s="38" t="s">
        <v>390</v>
      </c>
      <c r="E38" s="45" t="s">
        <v>252</v>
      </c>
      <c r="F38" s="35" t="s">
        <v>37</v>
      </c>
      <c r="G38" s="6"/>
      <c r="H38" s="14" t="s">
        <v>165</v>
      </c>
      <c r="I38" s="12" t="s">
        <v>424</v>
      </c>
      <c r="J38" s="38" t="s">
        <v>457</v>
      </c>
      <c r="K38" s="38" t="s">
        <v>457</v>
      </c>
      <c r="L38" s="38" t="s">
        <v>487</v>
      </c>
      <c r="M38" s="38" t="s">
        <v>504</v>
      </c>
      <c r="N38" s="38" t="s">
        <v>149</v>
      </c>
      <c r="O38" s="48" t="s">
        <v>150</v>
      </c>
      <c r="P38" s="4" t="s">
        <v>517</v>
      </c>
      <c r="Q38" s="4">
        <v>85177124815</v>
      </c>
      <c r="R38" s="4" t="s">
        <v>23</v>
      </c>
      <c r="S38" s="4" t="s">
        <v>64</v>
      </c>
      <c r="T38" s="4" t="s">
        <v>24</v>
      </c>
      <c r="U38" s="4" t="s">
        <v>487</v>
      </c>
      <c r="V38" s="9">
        <v>35988</v>
      </c>
      <c r="W38" s="10" t="str">
        <f t="shared" ca="1" si="8"/>
        <v>27 TAHUN 8 BULAN</v>
      </c>
      <c r="X38" s="11"/>
      <c r="Y38" s="4"/>
      <c r="Z38" s="4" t="s">
        <v>69</v>
      </c>
      <c r="AA38" s="38" t="s">
        <v>537</v>
      </c>
      <c r="AB38" s="4" t="s">
        <v>129</v>
      </c>
      <c r="AC38" s="38" t="s">
        <v>656</v>
      </c>
      <c r="AD38" s="38" t="s">
        <v>657</v>
      </c>
      <c r="AE38" s="38" t="s">
        <v>567</v>
      </c>
      <c r="AF38" s="4"/>
      <c r="AG38" s="4"/>
    </row>
    <row r="39" spans="1:33" x14ac:dyDescent="0.25">
      <c r="A39" s="6">
        <f t="shared" si="5"/>
        <v>37</v>
      </c>
      <c r="B39" s="4" t="s">
        <v>36</v>
      </c>
      <c r="C39" s="4" t="s">
        <v>823</v>
      </c>
      <c r="D39" s="38" t="s">
        <v>391</v>
      </c>
      <c r="E39" s="45" t="s">
        <v>253</v>
      </c>
      <c r="F39" s="35" t="s">
        <v>37</v>
      </c>
      <c r="G39" s="6"/>
      <c r="H39" s="14" t="s">
        <v>165</v>
      </c>
      <c r="I39" s="12" t="s">
        <v>425</v>
      </c>
      <c r="J39" s="38" t="s">
        <v>458</v>
      </c>
      <c r="K39" s="38" t="s">
        <v>458</v>
      </c>
      <c r="L39" s="38" t="s">
        <v>488</v>
      </c>
      <c r="M39" s="38" t="s">
        <v>286</v>
      </c>
      <c r="N39" s="38" t="s">
        <v>149</v>
      </c>
      <c r="O39" s="48" t="s">
        <v>150</v>
      </c>
      <c r="P39" s="4" t="s">
        <v>517</v>
      </c>
      <c r="Q39" s="4">
        <v>82340729391</v>
      </c>
      <c r="R39" s="4" t="s">
        <v>23</v>
      </c>
      <c r="S39" s="4" t="s">
        <v>197</v>
      </c>
      <c r="T39" s="4" t="s">
        <v>66</v>
      </c>
      <c r="U39" s="4" t="s">
        <v>521</v>
      </c>
      <c r="V39" s="9">
        <v>34915</v>
      </c>
      <c r="W39" s="10" t="str">
        <f t="shared" ca="1" si="8"/>
        <v>30 TAHUN 8 BULAN</v>
      </c>
      <c r="X39" s="11">
        <v>46066</v>
      </c>
      <c r="Y39" s="4" t="str">
        <f t="shared" ca="1" si="4"/>
        <v>0 TAHUN 1 BULAN</v>
      </c>
      <c r="Z39" s="4" t="s">
        <v>69</v>
      </c>
      <c r="AA39" s="38" t="s">
        <v>538</v>
      </c>
      <c r="AB39" s="4" t="s">
        <v>129</v>
      </c>
      <c r="AC39" s="38" t="s">
        <v>622</v>
      </c>
      <c r="AD39" s="38" t="s">
        <v>623</v>
      </c>
      <c r="AE39" s="38" t="s">
        <v>568</v>
      </c>
      <c r="AF39" s="4" t="s">
        <v>824</v>
      </c>
      <c r="AG39" s="4" t="s">
        <v>825</v>
      </c>
    </row>
    <row r="40" spans="1:33" x14ac:dyDescent="0.25">
      <c r="A40" s="6">
        <f t="shared" si="5"/>
        <v>38</v>
      </c>
      <c r="B40" s="4" t="s">
        <v>36</v>
      </c>
      <c r="C40" s="4" t="s">
        <v>847</v>
      </c>
      <c r="D40" s="38" t="s">
        <v>392</v>
      </c>
      <c r="E40" s="45" t="s">
        <v>252</v>
      </c>
      <c r="F40" s="35" t="s">
        <v>37</v>
      </c>
      <c r="G40" s="6"/>
      <c r="H40" s="14" t="s">
        <v>165</v>
      </c>
      <c r="I40" s="12" t="s">
        <v>426</v>
      </c>
      <c r="J40" s="38" t="s">
        <v>459</v>
      </c>
      <c r="K40" s="38" t="s">
        <v>459</v>
      </c>
      <c r="L40" s="38" t="s">
        <v>489</v>
      </c>
      <c r="M40" s="38" t="s">
        <v>505</v>
      </c>
      <c r="N40" s="38" t="s">
        <v>149</v>
      </c>
      <c r="O40" s="48" t="s">
        <v>150</v>
      </c>
      <c r="P40" s="4" t="s">
        <v>517</v>
      </c>
      <c r="Q40" s="4">
        <v>82293806677</v>
      </c>
      <c r="R40" s="4" t="s">
        <v>23</v>
      </c>
      <c r="S40" s="4" t="s">
        <v>63</v>
      </c>
      <c r="T40" s="4" t="s">
        <v>24</v>
      </c>
      <c r="U40" s="4" t="s">
        <v>522</v>
      </c>
      <c r="V40" s="9">
        <v>35746</v>
      </c>
      <c r="W40" s="10" t="str">
        <f t="shared" ca="1" si="8"/>
        <v>28 TAHUN 4 BULAN</v>
      </c>
      <c r="X40" s="11">
        <v>46061</v>
      </c>
      <c r="Y40" s="4" t="str">
        <f t="shared" ca="1" si="4"/>
        <v>0 TAHUN 2 BULAN</v>
      </c>
      <c r="Z40" s="4" t="s">
        <v>69</v>
      </c>
      <c r="AA40" s="38" t="s">
        <v>539</v>
      </c>
      <c r="AB40" s="4" t="s">
        <v>129</v>
      </c>
      <c r="AC40" s="38" t="s">
        <v>641</v>
      </c>
      <c r="AD40" s="38" t="s">
        <v>69</v>
      </c>
      <c r="AE40" s="38" t="s">
        <v>569</v>
      </c>
      <c r="AF40" s="4" t="s">
        <v>848</v>
      </c>
      <c r="AG40" s="4" t="s">
        <v>801</v>
      </c>
    </row>
    <row r="41" spans="1:33" x14ac:dyDescent="0.25">
      <c r="A41" s="6">
        <f t="shared" si="5"/>
        <v>39</v>
      </c>
      <c r="B41" s="4" t="s">
        <v>36</v>
      </c>
      <c r="C41" s="4" t="s">
        <v>799</v>
      </c>
      <c r="D41" s="38" t="s">
        <v>393</v>
      </c>
      <c r="E41" s="45" t="s">
        <v>252</v>
      </c>
      <c r="F41" s="35" t="s">
        <v>37</v>
      </c>
      <c r="G41" s="6"/>
      <c r="H41" s="14" t="s">
        <v>165</v>
      </c>
      <c r="I41" s="12" t="s">
        <v>427</v>
      </c>
      <c r="J41" s="38" t="s">
        <v>460</v>
      </c>
      <c r="K41" s="38" t="s">
        <v>460</v>
      </c>
      <c r="L41" s="38" t="s">
        <v>143</v>
      </c>
      <c r="M41" s="38" t="s">
        <v>143</v>
      </c>
      <c r="N41" s="38" t="s">
        <v>205</v>
      </c>
      <c r="O41" s="48" t="s">
        <v>150</v>
      </c>
      <c r="P41" s="4" t="s">
        <v>517</v>
      </c>
      <c r="Q41" s="4">
        <v>85255610397</v>
      </c>
      <c r="R41" s="4" t="s">
        <v>23</v>
      </c>
      <c r="S41" s="4" t="s">
        <v>64</v>
      </c>
      <c r="T41" s="4" t="s">
        <v>24</v>
      </c>
      <c r="U41" s="4" t="s">
        <v>523</v>
      </c>
      <c r="V41" s="9">
        <v>35797</v>
      </c>
      <c r="W41" s="10" t="str">
        <f t="shared" ca="1" si="8"/>
        <v>28 TAHUN 3 BULAN</v>
      </c>
      <c r="X41" s="11">
        <v>46049</v>
      </c>
      <c r="Y41" s="4" t="str">
        <f t="shared" ca="1" si="4"/>
        <v>0 TAHUN 2 BULAN</v>
      </c>
      <c r="Z41" s="4" t="s">
        <v>69</v>
      </c>
      <c r="AA41" s="38" t="s">
        <v>540</v>
      </c>
      <c r="AB41" s="4" t="s">
        <v>129</v>
      </c>
      <c r="AC41" s="38" t="s">
        <v>639</v>
      </c>
      <c r="AD41" s="38" t="s">
        <v>640</v>
      </c>
      <c r="AE41" s="38" t="s">
        <v>570</v>
      </c>
      <c r="AF41" s="4" t="s">
        <v>800</v>
      </c>
      <c r="AG41" s="4" t="s">
        <v>801</v>
      </c>
    </row>
    <row r="42" spans="1:33" x14ac:dyDescent="0.25">
      <c r="A42" s="6">
        <f t="shared" si="5"/>
        <v>40</v>
      </c>
      <c r="B42" s="4" t="s">
        <v>36</v>
      </c>
      <c r="C42" s="4"/>
      <c r="D42" s="38" t="s">
        <v>394</v>
      </c>
      <c r="E42" s="45" t="s">
        <v>252</v>
      </c>
      <c r="F42" s="35" t="s">
        <v>37</v>
      </c>
      <c r="G42" s="6"/>
      <c r="H42" s="14" t="s">
        <v>165</v>
      </c>
      <c r="I42" s="12" t="s">
        <v>428</v>
      </c>
      <c r="J42" s="38" t="s">
        <v>461</v>
      </c>
      <c r="K42" s="38" t="s">
        <v>461</v>
      </c>
      <c r="L42" s="38" t="s">
        <v>141</v>
      </c>
      <c r="M42" s="38" t="s">
        <v>286</v>
      </c>
      <c r="N42" s="38" t="s">
        <v>149</v>
      </c>
      <c r="O42" s="48" t="s">
        <v>150</v>
      </c>
      <c r="P42" s="4" t="s">
        <v>32</v>
      </c>
      <c r="Q42" s="4">
        <v>81253060833</v>
      </c>
      <c r="R42" s="4" t="s">
        <v>23</v>
      </c>
      <c r="S42" s="4" t="s">
        <v>653</v>
      </c>
      <c r="T42" s="4" t="s">
        <v>24</v>
      </c>
      <c r="U42" s="4" t="s">
        <v>286</v>
      </c>
      <c r="V42" s="9">
        <v>29429</v>
      </c>
      <c r="W42" s="10" t="str">
        <f t="shared" ca="1" si="8"/>
        <v>45 TAHUN 8 BULAN</v>
      </c>
      <c r="X42" s="11"/>
      <c r="Y42" s="4"/>
      <c r="Z42" s="4" t="s">
        <v>69</v>
      </c>
      <c r="AA42" s="38" t="s">
        <v>541</v>
      </c>
      <c r="AB42" s="4" t="s">
        <v>129</v>
      </c>
      <c r="AC42" s="38" t="s">
        <v>654</v>
      </c>
      <c r="AD42" s="38" t="s">
        <v>69</v>
      </c>
      <c r="AE42" s="38" t="s">
        <v>571</v>
      </c>
      <c r="AF42" s="4"/>
      <c r="AG42" s="4"/>
    </row>
    <row r="43" spans="1:33" x14ac:dyDescent="0.25">
      <c r="A43" s="6">
        <f t="shared" si="5"/>
        <v>41</v>
      </c>
      <c r="B43" s="4" t="s">
        <v>36</v>
      </c>
      <c r="C43" s="4" t="s">
        <v>855</v>
      </c>
      <c r="D43" s="38" t="s">
        <v>395</v>
      </c>
      <c r="E43" s="45" t="s">
        <v>252</v>
      </c>
      <c r="F43" s="35" t="s">
        <v>37</v>
      </c>
      <c r="G43" s="6"/>
      <c r="H43" s="14" t="s">
        <v>165</v>
      </c>
      <c r="I43" s="12" t="s">
        <v>429</v>
      </c>
      <c r="J43" s="38" t="s">
        <v>462</v>
      </c>
      <c r="K43" s="38" t="s">
        <v>462</v>
      </c>
      <c r="L43" s="38" t="s">
        <v>148</v>
      </c>
      <c r="M43" s="38" t="s">
        <v>286</v>
      </c>
      <c r="N43" s="38" t="s">
        <v>205</v>
      </c>
      <c r="O43" s="48" t="s">
        <v>150</v>
      </c>
      <c r="P43" s="4" t="s">
        <v>32</v>
      </c>
      <c r="Q43" s="12" t="s">
        <v>519</v>
      </c>
      <c r="R43" s="4" t="s">
        <v>23</v>
      </c>
      <c r="S43" s="4" t="s">
        <v>64</v>
      </c>
      <c r="T43" s="4" t="s">
        <v>24</v>
      </c>
      <c r="U43" s="4" t="s">
        <v>301</v>
      </c>
      <c r="V43" s="9">
        <v>37022</v>
      </c>
      <c r="W43" s="10" t="str">
        <f t="shared" ca="1" si="8"/>
        <v>24 TAHUN 10 BULAN</v>
      </c>
      <c r="X43" s="11">
        <v>46042</v>
      </c>
      <c r="Y43" s="4" t="str">
        <f t="shared" ca="1" si="4"/>
        <v>0 TAHUN 2 BULAN</v>
      </c>
      <c r="Z43" s="4" t="s">
        <v>69</v>
      </c>
      <c r="AA43" s="38" t="s">
        <v>542</v>
      </c>
      <c r="AB43" s="4" t="s">
        <v>129</v>
      </c>
      <c r="AC43" s="38" t="s">
        <v>642</v>
      </c>
      <c r="AD43" s="38" t="s">
        <v>69</v>
      </c>
      <c r="AE43" s="56" t="s">
        <v>572</v>
      </c>
      <c r="AF43" s="4" t="s">
        <v>856</v>
      </c>
      <c r="AG43" s="4" t="s">
        <v>804</v>
      </c>
    </row>
    <row r="44" spans="1:33" x14ac:dyDescent="0.25">
      <c r="A44" s="6">
        <f t="shared" si="5"/>
        <v>42</v>
      </c>
      <c r="B44" s="4" t="s">
        <v>36</v>
      </c>
      <c r="C44" s="4"/>
      <c r="D44" s="38" t="s">
        <v>396</v>
      </c>
      <c r="E44" s="45" t="s">
        <v>252</v>
      </c>
      <c r="F44" s="35" t="s">
        <v>37</v>
      </c>
      <c r="G44" s="6"/>
      <c r="H44" s="14" t="s">
        <v>165</v>
      </c>
      <c r="I44" s="12" t="s">
        <v>430</v>
      </c>
      <c r="J44" s="38" t="s">
        <v>463</v>
      </c>
      <c r="K44" s="38" t="s">
        <v>463</v>
      </c>
      <c r="L44" s="38" t="s">
        <v>490</v>
      </c>
      <c r="M44" s="38" t="s">
        <v>505</v>
      </c>
      <c r="N44" s="38" t="s">
        <v>205</v>
      </c>
      <c r="O44" s="48" t="s">
        <v>150</v>
      </c>
      <c r="P44" s="4" t="s">
        <v>32</v>
      </c>
      <c r="Q44" s="4">
        <v>85255003300</v>
      </c>
      <c r="R44" s="4" t="s">
        <v>23</v>
      </c>
      <c r="S44" s="4" t="s">
        <v>65</v>
      </c>
      <c r="T44" s="4" t="s">
        <v>24</v>
      </c>
      <c r="U44" s="4" t="s">
        <v>524</v>
      </c>
      <c r="V44" s="9">
        <v>36101</v>
      </c>
      <c r="W44" s="10" t="str">
        <f t="shared" ca="1" si="8"/>
        <v>27 TAHUN 5 BULAN</v>
      </c>
      <c r="X44" s="11"/>
      <c r="Y44" s="4"/>
      <c r="Z44" s="4" t="s">
        <v>69</v>
      </c>
      <c r="AA44" s="38" t="s">
        <v>543</v>
      </c>
      <c r="AB44" s="4" t="s">
        <v>129</v>
      </c>
      <c r="AC44" s="38" t="s">
        <v>661</v>
      </c>
      <c r="AD44" s="38" t="s">
        <v>69</v>
      </c>
      <c r="AE44" s="56" t="s">
        <v>573</v>
      </c>
      <c r="AF44" s="4"/>
      <c r="AG44" s="4"/>
    </row>
    <row r="45" spans="1:33" x14ac:dyDescent="0.25">
      <c r="A45" s="6">
        <f t="shared" si="5"/>
        <v>43</v>
      </c>
      <c r="B45" s="4" t="s">
        <v>36</v>
      </c>
      <c r="C45" s="4" t="s">
        <v>840</v>
      </c>
      <c r="D45" s="38" t="s">
        <v>397</v>
      </c>
      <c r="E45" s="45" t="s">
        <v>252</v>
      </c>
      <c r="F45" s="35" t="s">
        <v>37</v>
      </c>
      <c r="G45" s="6"/>
      <c r="H45" s="14" t="s">
        <v>165</v>
      </c>
      <c r="I45" s="12" t="s">
        <v>431</v>
      </c>
      <c r="J45" s="38" t="s">
        <v>464</v>
      </c>
      <c r="K45" s="38" t="s">
        <v>464</v>
      </c>
      <c r="L45" s="38" t="s">
        <v>141</v>
      </c>
      <c r="M45" s="38" t="s">
        <v>286</v>
      </c>
      <c r="N45" s="38" t="s">
        <v>205</v>
      </c>
      <c r="O45" s="48" t="s">
        <v>150</v>
      </c>
      <c r="P45" s="4" t="s">
        <v>32</v>
      </c>
      <c r="Q45" s="4">
        <v>82394606386</v>
      </c>
      <c r="R45" s="4" t="s">
        <v>300</v>
      </c>
      <c r="S45" s="4" t="s">
        <v>65</v>
      </c>
      <c r="T45" s="4" t="s">
        <v>24</v>
      </c>
      <c r="U45" s="4" t="s">
        <v>141</v>
      </c>
      <c r="V45" s="9">
        <v>36841</v>
      </c>
      <c r="W45" s="10" t="str">
        <f t="shared" ca="1" si="8"/>
        <v>25 TAHUN 4 BULAN</v>
      </c>
      <c r="X45" s="11">
        <v>46059</v>
      </c>
      <c r="Y45" s="4" t="str">
        <f t="shared" ca="1" si="4"/>
        <v>0 TAHUN 2 BULAN</v>
      </c>
      <c r="Z45" s="4" t="s">
        <v>69</v>
      </c>
      <c r="AA45" s="38" t="s">
        <v>544</v>
      </c>
      <c r="AB45" s="4" t="s">
        <v>129</v>
      </c>
      <c r="AC45" s="38" t="s">
        <v>630</v>
      </c>
      <c r="AD45" s="38" t="s">
        <v>69</v>
      </c>
      <c r="AE45" s="38" t="s">
        <v>574</v>
      </c>
      <c r="AF45" s="4" t="s">
        <v>841</v>
      </c>
      <c r="AG45" s="4" t="s">
        <v>801</v>
      </c>
    </row>
    <row r="46" spans="1:33" x14ac:dyDescent="0.25">
      <c r="A46" s="6">
        <f t="shared" si="5"/>
        <v>44</v>
      </c>
      <c r="B46" s="4" t="s">
        <v>36</v>
      </c>
      <c r="C46" s="4" t="s">
        <v>799</v>
      </c>
      <c r="D46" s="38" t="s">
        <v>398</v>
      </c>
      <c r="E46" s="45" t="s">
        <v>252</v>
      </c>
      <c r="F46" s="35" t="s">
        <v>37</v>
      </c>
      <c r="G46" s="6"/>
      <c r="H46" s="14" t="s">
        <v>165</v>
      </c>
      <c r="I46" s="12" t="s">
        <v>432</v>
      </c>
      <c r="J46" s="38" t="s">
        <v>465</v>
      </c>
      <c r="K46" s="38" t="s">
        <v>465</v>
      </c>
      <c r="L46" s="38" t="s">
        <v>491</v>
      </c>
      <c r="M46" s="38" t="s">
        <v>506</v>
      </c>
      <c r="N46" s="38" t="s">
        <v>313</v>
      </c>
      <c r="O46" s="48" t="s">
        <v>151</v>
      </c>
      <c r="P46" s="4" t="s">
        <v>516</v>
      </c>
      <c r="Q46" s="12" t="s">
        <v>520</v>
      </c>
      <c r="R46" s="4" t="s">
        <v>23</v>
      </c>
      <c r="S46" s="4" t="s">
        <v>64</v>
      </c>
      <c r="T46" s="4" t="s">
        <v>24</v>
      </c>
      <c r="U46" s="4" t="s">
        <v>491</v>
      </c>
      <c r="V46" s="9">
        <v>37037</v>
      </c>
      <c r="W46" s="10" t="str">
        <f t="shared" ca="1" si="8"/>
        <v>24 TAHUN 10 BULAN</v>
      </c>
      <c r="X46" s="11">
        <v>46042</v>
      </c>
      <c r="Y46" s="4" t="str">
        <f t="shared" ca="1" si="4"/>
        <v>0 TAHUN 2 BULAN</v>
      </c>
      <c r="Z46" s="4" t="s">
        <v>69</v>
      </c>
      <c r="AA46" s="38" t="s">
        <v>545</v>
      </c>
      <c r="AB46" s="4" t="s">
        <v>129</v>
      </c>
      <c r="AC46" s="38" t="s">
        <v>647</v>
      </c>
      <c r="AD46" s="38" t="s">
        <v>69</v>
      </c>
      <c r="AE46" s="56" t="s">
        <v>575</v>
      </c>
      <c r="AF46" s="4" t="s">
        <v>854</v>
      </c>
      <c r="AG46" s="29">
        <v>46367</v>
      </c>
    </row>
    <row r="47" spans="1:33" x14ac:dyDescent="0.25">
      <c r="A47" s="6">
        <f t="shared" si="5"/>
        <v>45</v>
      </c>
      <c r="B47" s="4" t="s">
        <v>36</v>
      </c>
      <c r="C47" s="4" t="s">
        <v>830</v>
      </c>
      <c r="D47" s="38" t="s">
        <v>399</v>
      </c>
      <c r="E47" s="45" t="s">
        <v>252</v>
      </c>
      <c r="F47" s="35" t="s">
        <v>37</v>
      </c>
      <c r="G47" s="6"/>
      <c r="H47" s="14" t="s">
        <v>165</v>
      </c>
      <c r="I47" s="12" t="s">
        <v>433</v>
      </c>
      <c r="J47" s="38" t="s">
        <v>466</v>
      </c>
      <c r="K47" s="38" t="s">
        <v>466</v>
      </c>
      <c r="L47" s="38" t="s">
        <v>489</v>
      </c>
      <c r="M47" s="38" t="s">
        <v>505</v>
      </c>
      <c r="N47" s="38" t="s">
        <v>205</v>
      </c>
      <c r="O47" s="48" t="s">
        <v>150</v>
      </c>
      <c r="P47" s="4" t="s">
        <v>32</v>
      </c>
      <c r="Q47" s="4">
        <v>82219263725</v>
      </c>
      <c r="R47" s="4" t="s">
        <v>23</v>
      </c>
      <c r="S47" s="4" t="s">
        <v>64</v>
      </c>
      <c r="T47" s="4" t="s">
        <v>24</v>
      </c>
      <c r="U47" s="4" t="s">
        <v>525</v>
      </c>
      <c r="V47" s="9">
        <v>37018</v>
      </c>
      <c r="W47" s="10" t="str">
        <f t="shared" ca="1" si="8"/>
        <v>24 TAHUN 11 BULAN</v>
      </c>
      <c r="X47" s="11">
        <v>46049</v>
      </c>
      <c r="Y47" s="4" t="str">
        <f t="shared" ca="1" si="4"/>
        <v>0 TAHUN 2 BULAN</v>
      </c>
      <c r="Z47" s="4" t="s">
        <v>69</v>
      </c>
      <c r="AA47" s="38" t="s">
        <v>546</v>
      </c>
      <c r="AB47" s="4" t="s">
        <v>129</v>
      </c>
      <c r="AC47" s="38" t="s">
        <v>627</v>
      </c>
      <c r="AD47" s="38" t="s">
        <v>69</v>
      </c>
      <c r="AE47" s="38" t="s">
        <v>576</v>
      </c>
      <c r="AF47" s="4" t="s">
        <v>831</v>
      </c>
      <c r="AG47" s="4" t="s">
        <v>832</v>
      </c>
    </row>
    <row r="48" spans="1:33" x14ac:dyDescent="0.25">
      <c r="A48" s="6">
        <f t="shared" si="5"/>
        <v>46</v>
      </c>
      <c r="B48" s="4" t="s">
        <v>36</v>
      </c>
      <c r="C48" s="4" t="s">
        <v>802</v>
      </c>
      <c r="D48" s="38" t="s">
        <v>400</v>
      </c>
      <c r="E48" s="45" t="s">
        <v>252</v>
      </c>
      <c r="F48" s="35" t="s">
        <v>37</v>
      </c>
      <c r="G48" s="6"/>
      <c r="H48" s="14" t="s">
        <v>165</v>
      </c>
      <c r="I48" s="12" t="s">
        <v>434</v>
      </c>
      <c r="J48" s="38" t="s">
        <v>467</v>
      </c>
      <c r="K48" s="38" t="s">
        <v>467</v>
      </c>
      <c r="L48" s="38" t="s">
        <v>467</v>
      </c>
      <c r="M48" s="38" t="s">
        <v>503</v>
      </c>
      <c r="N48" s="38" t="s">
        <v>205</v>
      </c>
      <c r="O48" s="48" t="s">
        <v>150</v>
      </c>
      <c r="P48" s="4" t="s">
        <v>32</v>
      </c>
      <c r="Q48" s="4">
        <v>81549061135</v>
      </c>
      <c r="R48" s="4" t="s">
        <v>23</v>
      </c>
      <c r="S48" s="4" t="s">
        <v>65</v>
      </c>
      <c r="T48" s="4" t="s">
        <v>66</v>
      </c>
      <c r="U48" s="4" t="s">
        <v>526</v>
      </c>
      <c r="V48" s="9">
        <v>37151</v>
      </c>
      <c r="W48" s="10" t="str">
        <f t="shared" ca="1" si="8"/>
        <v>24 TAHUN 6 BULAN</v>
      </c>
      <c r="X48" s="11">
        <v>46049</v>
      </c>
      <c r="Y48" s="4" t="str">
        <f t="shared" ca="1" si="4"/>
        <v>0 TAHUN 2 BULAN</v>
      </c>
      <c r="Z48" s="4" t="s">
        <v>69</v>
      </c>
      <c r="AA48" s="38" t="s">
        <v>547</v>
      </c>
      <c r="AB48" s="4" t="s">
        <v>129</v>
      </c>
      <c r="AC48" s="38" t="s">
        <v>659</v>
      </c>
      <c r="AD48" s="38" t="s">
        <v>660</v>
      </c>
      <c r="AE48" s="38" t="s">
        <v>577</v>
      </c>
      <c r="AF48" s="4" t="s">
        <v>803</v>
      </c>
      <c r="AG48" s="4" t="s">
        <v>804</v>
      </c>
    </row>
    <row r="49" spans="1:33" x14ac:dyDescent="0.25">
      <c r="A49" s="6">
        <f t="shared" si="5"/>
        <v>47</v>
      </c>
      <c r="B49" s="4" t="s">
        <v>36</v>
      </c>
      <c r="C49" s="4" t="s">
        <v>805</v>
      </c>
      <c r="D49" s="38" t="s">
        <v>401</v>
      </c>
      <c r="E49" s="45" t="s">
        <v>253</v>
      </c>
      <c r="F49" s="35" t="s">
        <v>37</v>
      </c>
      <c r="G49" s="6"/>
      <c r="H49" s="14" t="s">
        <v>165</v>
      </c>
      <c r="I49" s="12" t="s">
        <v>435</v>
      </c>
      <c r="J49" s="38" t="s">
        <v>468</v>
      </c>
      <c r="K49" s="38" t="s">
        <v>468</v>
      </c>
      <c r="L49" s="38" t="s">
        <v>147</v>
      </c>
      <c r="M49" s="38" t="s">
        <v>143</v>
      </c>
      <c r="N49" s="38" t="s">
        <v>205</v>
      </c>
      <c r="O49" s="48" t="s">
        <v>150</v>
      </c>
      <c r="P49" s="4" t="s">
        <v>32</v>
      </c>
      <c r="Q49" s="4">
        <v>82291788728</v>
      </c>
      <c r="R49" s="4" t="s">
        <v>23</v>
      </c>
      <c r="S49" s="4" t="s">
        <v>64</v>
      </c>
      <c r="T49" s="4" t="s">
        <v>24</v>
      </c>
      <c r="U49" s="4" t="s">
        <v>147</v>
      </c>
      <c r="V49" s="9">
        <v>39185</v>
      </c>
      <c r="W49" s="10" t="str">
        <f t="shared" ca="1" si="8"/>
        <v>18 TAHUN 11 BULAN</v>
      </c>
      <c r="X49" s="11">
        <v>46049</v>
      </c>
      <c r="Y49" s="4" t="str">
        <f t="shared" ca="1" si="4"/>
        <v>0 TAHUN 2 BULAN</v>
      </c>
      <c r="Z49" s="4" t="s">
        <v>69</v>
      </c>
      <c r="AA49" s="38" t="s">
        <v>548</v>
      </c>
      <c r="AB49" s="4" t="s">
        <v>129</v>
      </c>
      <c r="AC49" s="38" t="s">
        <v>626</v>
      </c>
      <c r="AD49" s="38" t="s">
        <v>69</v>
      </c>
      <c r="AE49" s="56" t="s">
        <v>578</v>
      </c>
      <c r="AF49" s="4" t="s">
        <v>806</v>
      </c>
      <c r="AG49" s="4" t="s">
        <v>804</v>
      </c>
    </row>
    <row r="50" spans="1:33" x14ac:dyDescent="0.25">
      <c r="A50" s="6">
        <f t="shared" si="5"/>
        <v>48</v>
      </c>
      <c r="B50" s="4" t="s">
        <v>36</v>
      </c>
      <c r="C50" s="4" t="s">
        <v>826</v>
      </c>
      <c r="D50" s="38" t="s">
        <v>402</v>
      </c>
      <c r="E50" s="45" t="s">
        <v>252</v>
      </c>
      <c r="F50" s="35" t="s">
        <v>37</v>
      </c>
      <c r="G50" s="6"/>
      <c r="H50" s="14" t="s">
        <v>165</v>
      </c>
      <c r="I50" s="12" t="s">
        <v>436</v>
      </c>
      <c r="J50" s="38" t="s">
        <v>634</v>
      </c>
      <c r="K50" s="38" t="s">
        <v>634</v>
      </c>
      <c r="L50" s="38" t="s">
        <v>282</v>
      </c>
      <c r="M50" s="38" t="s">
        <v>292</v>
      </c>
      <c r="N50" s="38" t="s">
        <v>205</v>
      </c>
      <c r="O50" s="48" t="s">
        <v>150</v>
      </c>
      <c r="P50" s="4" t="s">
        <v>32</v>
      </c>
      <c r="Q50" s="4">
        <v>85251891768</v>
      </c>
      <c r="R50" s="4" t="s">
        <v>23</v>
      </c>
      <c r="S50" s="4" t="s">
        <v>635</v>
      </c>
      <c r="T50" s="4" t="s">
        <v>24</v>
      </c>
      <c r="U50" s="4" t="s">
        <v>286</v>
      </c>
      <c r="V50" s="9">
        <v>37702</v>
      </c>
      <c r="W50" s="10" t="str">
        <f t="shared" ca="1" si="8"/>
        <v>23 TAHUN 0 BULAN</v>
      </c>
      <c r="X50" s="11">
        <v>46066</v>
      </c>
      <c r="Y50" s="4" t="str">
        <f t="shared" ca="1" si="4"/>
        <v>0 TAHUN 1 BULAN</v>
      </c>
      <c r="Z50" s="4" t="s">
        <v>69</v>
      </c>
      <c r="AA50" s="38" t="s">
        <v>549</v>
      </c>
      <c r="AB50" s="4" t="s">
        <v>129</v>
      </c>
      <c r="AC50" s="38" t="s">
        <v>636</v>
      </c>
      <c r="AD50" s="38" t="s">
        <v>69</v>
      </c>
      <c r="AE50" s="56" t="s">
        <v>579</v>
      </c>
      <c r="AF50" s="4" t="s">
        <v>827</v>
      </c>
      <c r="AG50" s="4" t="s">
        <v>801</v>
      </c>
    </row>
    <row r="51" spans="1:33" x14ac:dyDescent="0.25">
      <c r="A51" s="6">
        <f t="shared" si="5"/>
        <v>49</v>
      </c>
      <c r="B51" s="4" t="s">
        <v>36</v>
      </c>
      <c r="C51" s="4" t="s">
        <v>859</v>
      </c>
      <c r="D51" s="38" t="s">
        <v>403</v>
      </c>
      <c r="E51" s="45" t="s">
        <v>252</v>
      </c>
      <c r="F51" s="35" t="s">
        <v>37</v>
      </c>
      <c r="G51" s="6"/>
      <c r="H51" s="14" t="s">
        <v>165</v>
      </c>
      <c r="I51" s="12" t="s">
        <v>437</v>
      </c>
      <c r="J51" s="38" t="s">
        <v>469</v>
      </c>
      <c r="K51" s="38" t="s">
        <v>469</v>
      </c>
      <c r="L51" s="38" t="s">
        <v>292</v>
      </c>
      <c r="M51" s="38" t="s">
        <v>292</v>
      </c>
      <c r="N51" s="38" t="s">
        <v>205</v>
      </c>
      <c r="O51" s="48" t="s">
        <v>150</v>
      </c>
      <c r="P51" s="4" t="s">
        <v>32</v>
      </c>
      <c r="Q51" s="4">
        <v>82238209348</v>
      </c>
      <c r="R51" s="4" t="s">
        <v>23</v>
      </c>
      <c r="S51" s="4" t="s">
        <v>64</v>
      </c>
      <c r="T51" s="4" t="s">
        <v>24</v>
      </c>
      <c r="U51" s="4" t="s">
        <v>527</v>
      </c>
      <c r="V51" s="9">
        <v>38633</v>
      </c>
      <c r="W51" s="10" t="str">
        <f t="shared" ca="1" si="8"/>
        <v>20 TAHUN 6 BULAN</v>
      </c>
      <c r="X51" s="11">
        <v>46042</v>
      </c>
      <c r="Y51" s="4" t="str">
        <f t="shared" ca="1" si="4"/>
        <v>0 TAHUN 2 BULAN</v>
      </c>
      <c r="Z51" s="4" t="s">
        <v>69</v>
      </c>
      <c r="AA51" s="38" t="s">
        <v>550</v>
      </c>
      <c r="AB51" s="4" t="s">
        <v>129</v>
      </c>
      <c r="AC51" s="38" t="s">
        <v>658</v>
      </c>
      <c r="AD51" s="38" t="s">
        <v>69</v>
      </c>
      <c r="AE51" s="38" t="s">
        <v>580</v>
      </c>
      <c r="AF51" s="4" t="s">
        <v>860</v>
      </c>
      <c r="AG51" s="4" t="s">
        <v>804</v>
      </c>
    </row>
    <row r="52" spans="1:33" x14ac:dyDescent="0.25">
      <c r="A52" s="6">
        <f t="shared" si="5"/>
        <v>50</v>
      </c>
      <c r="B52" s="4" t="s">
        <v>36</v>
      </c>
      <c r="C52" s="4" t="s">
        <v>807</v>
      </c>
      <c r="D52" s="38" t="s">
        <v>404</v>
      </c>
      <c r="E52" s="45" t="s">
        <v>252</v>
      </c>
      <c r="F52" s="35" t="s">
        <v>37</v>
      </c>
      <c r="G52" s="6"/>
      <c r="H52" s="14" t="s">
        <v>165</v>
      </c>
      <c r="I52" s="12" t="s">
        <v>438</v>
      </c>
      <c r="J52" s="38" t="s">
        <v>470</v>
      </c>
      <c r="K52" s="38" t="s">
        <v>470</v>
      </c>
      <c r="L52" s="38" t="s">
        <v>492</v>
      </c>
      <c r="M52" s="38" t="s">
        <v>507</v>
      </c>
      <c r="N52" s="38" t="s">
        <v>205</v>
      </c>
      <c r="O52" s="48" t="s">
        <v>150</v>
      </c>
      <c r="P52" s="4" t="s">
        <v>32</v>
      </c>
      <c r="Q52" s="4">
        <v>82260440735</v>
      </c>
      <c r="R52" s="4" t="s">
        <v>23</v>
      </c>
      <c r="S52" s="4" t="s">
        <v>64</v>
      </c>
      <c r="T52" s="4" t="s">
        <v>24</v>
      </c>
      <c r="U52" s="4" t="s">
        <v>528</v>
      </c>
      <c r="V52" s="9">
        <v>37421</v>
      </c>
      <c r="W52" s="10" t="str">
        <f t="shared" ca="1" si="8"/>
        <v>23 TAHUN 9 BULAN</v>
      </c>
      <c r="X52" s="11">
        <v>46049</v>
      </c>
      <c r="Y52" s="4" t="str">
        <f t="shared" ca="1" si="4"/>
        <v>0 TAHUN 2 BULAN</v>
      </c>
      <c r="Z52" s="4" t="s">
        <v>69</v>
      </c>
      <c r="AA52" s="38" t="s">
        <v>551</v>
      </c>
      <c r="AB52" s="4" t="s">
        <v>129</v>
      </c>
      <c r="AC52" s="38" t="s">
        <v>652</v>
      </c>
      <c r="AD52" s="38" t="s">
        <v>69</v>
      </c>
      <c r="AE52" s="38" t="s">
        <v>581</v>
      </c>
      <c r="AF52" s="4" t="s">
        <v>808</v>
      </c>
      <c r="AG52" s="4" t="s">
        <v>809</v>
      </c>
    </row>
    <row r="53" spans="1:33" x14ac:dyDescent="0.25">
      <c r="A53" s="6">
        <f t="shared" si="5"/>
        <v>51</v>
      </c>
      <c r="B53" s="4" t="s">
        <v>36</v>
      </c>
      <c r="C53" s="4" t="s">
        <v>849</v>
      </c>
      <c r="D53" s="38" t="s">
        <v>405</v>
      </c>
      <c r="E53" s="45" t="s">
        <v>252</v>
      </c>
      <c r="F53" s="35" t="s">
        <v>37</v>
      </c>
      <c r="G53" s="6"/>
      <c r="H53" s="14" t="s">
        <v>165</v>
      </c>
      <c r="I53" s="12" t="s">
        <v>439</v>
      </c>
      <c r="J53" s="38" t="s">
        <v>643</v>
      </c>
      <c r="K53" s="38" t="s">
        <v>643</v>
      </c>
      <c r="L53" s="38" t="s">
        <v>495</v>
      </c>
      <c r="M53" s="38" t="s">
        <v>286</v>
      </c>
      <c r="N53" s="38" t="s">
        <v>205</v>
      </c>
      <c r="O53" s="48" t="s">
        <v>150</v>
      </c>
      <c r="P53" s="4" t="s">
        <v>32</v>
      </c>
      <c r="Q53" s="4">
        <v>81229668140</v>
      </c>
      <c r="R53" s="4" t="s">
        <v>23</v>
      </c>
      <c r="S53" s="4" t="s">
        <v>64</v>
      </c>
      <c r="T53" s="4" t="s">
        <v>24</v>
      </c>
      <c r="U53" s="4" t="s">
        <v>495</v>
      </c>
      <c r="V53" s="9">
        <v>38620</v>
      </c>
      <c r="W53" s="10" t="str">
        <f t="shared" ca="1" si="8"/>
        <v>20 TAHUN 6 BULAN</v>
      </c>
      <c r="X53" s="11">
        <v>46061</v>
      </c>
      <c r="Y53" s="4" t="str">
        <f t="shared" ca="1" si="4"/>
        <v>0 TAHUN 2 BULAN</v>
      </c>
      <c r="Z53" s="4" t="s">
        <v>69</v>
      </c>
      <c r="AA53" s="38" t="s">
        <v>552</v>
      </c>
      <c r="AB53" s="4" t="s">
        <v>129</v>
      </c>
      <c r="AC53" s="38" t="s">
        <v>644</v>
      </c>
      <c r="AD53" s="38" t="s">
        <v>69</v>
      </c>
      <c r="AE53" s="38" t="s">
        <v>582</v>
      </c>
      <c r="AF53" s="4" t="s">
        <v>850</v>
      </c>
      <c r="AG53" s="4" t="s">
        <v>851</v>
      </c>
    </row>
    <row r="54" spans="1:33" x14ac:dyDescent="0.25">
      <c r="A54" s="6">
        <f t="shared" si="5"/>
        <v>52</v>
      </c>
      <c r="B54" s="4" t="s">
        <v>36</v>
      </c>
      <c r="C54" s="4" t="s">
        <v>810</v>
      </c>
      <c r="D54" s="38" t="s">
        <v>406</v>
      </c>
      <c r="E54" s="45" t="s">
        <v>252</v>
      </c>
      <c r="F54" s="35" t="s">
        <v>37</v>
      </c>
      <c r="G54" s="6"/>
      <c r="H54" s="14" t="s">
        <v>165</v>
      </c>
      <c r="I54" s="12" t="s">
        <v>440</v>
      </c>
      <c r="J54" s="38" t="s">
        <v>471</v>
      </c>
      <c r="K54" s="38" t="s">
        <v>471</v>
      </c>
      <c r="L54" s="38" t="s">
        <v>283</v>
      </c>
      <c r="M54" s="38" t="s">
        <v>286</v>
      </c>
      <c r="N54" s="38" t="s">
        <v>205</v>
      </c>
      <c r="O54" s="48" t="s">
        <v>150</v>
      </c>
      <c r="P54" s="4" t="s">
        <v>32</v>
      </c>
      <c r="Q54" s="4">
        <v>81279807429</v>
      </c>
      <c r="R54" s="4" t="s">
        <v>300</v>
      </c>
      <c r="S54" s="4" t="s">
        <v>64</v>
      </c>
      <c r="T54" s="4" t="s">
        <v>24</v>
      </c>
      <c r="U54" s="4" t="s">
        <v>283</v>
      </c>
      <c r="V54" s="9">
        <v>38256</v>
      </c>
      <c r="W54" s="10" t="str">
        <f t="shared" ca="1" si="8"/>
        <v>21 TAHUN 6 BULAN</v>
      </c>
      <c r="X54" s="11">
        <v>46049</v>
      </c>
      <c r="Y54" s="4" t="str">
        <f t="shared" ca="1" si="4"/>
        <v>0 TAHUN 2 BULAN</v>
      </c>
      <c r="Z54" s="4" t="s">
        <v>69</v>
      </c>
      <c r="AA54" s="38" t="s">
        <v>548</v>
      </c>
      <c r="AB54" s="4" t="s">
        <v>129</v>
      </c>
      <c r="AC54" s="38" t="s">
        <v>619</v>
      </c>
      <c r="AD54" s="38" t="s">
        <v>620</v>
      </c>
      <c r="AE54" s="56" t="s">
        <v>583</v>
      </c>
      <c r="AF54" s="4" t="s">
        <v>811</v>
      </c>
      <c r="AG54" s="4" t="s">
        <v>804</v>
      </c>
    </row>
    <row r="55" spans="1:33" x14ac:dyDescent="0.25">
      <c r="A55" s="6">
        <f t="shared" si="5"/>
        <v>53</v>
      </c>
      <c r="B55" s="4" t="s">
        <v>36</v>
      </c>
      <c r="C55" s="4"/>
      <c r="D55" s="38" t="s">
        <v>407</v>
      </c>
      <c r="E55" s="45" t="s">
        <v>421</v>
      </c>
      <c r="F55" s="35" t="s">
        <v>37</v>
      </c>
      <c r="G55" s="6"/>
      <c r="H55" s="14" t="s">
        <v>165</v>
      </c>
      <c r="I55" s="12" t="s">
        <v>441</v>
      </c>
      <c r="J55" s="38" t="s">
        <v>472</v>
      </c>
      <c r="K55" s="38" t="s">
        <v>472</v>
      </c>
      <c r="L55" s="38" t="s">
        <v>148</v>
      </c>
      <c r="M55" s="38" t="s">
        <v>286</v>
      </c>
      <c r="N55" s="38" t="s">
        <v>205</v>
      </c>
      <c r="O55" s="48" t="s">
        <v>150</v>
      </c>
      <c r="P55" s="4" t="s">
        <v>32</v>
      </c>
      <c r="Q55" s="4">
        <v>82238425349</v>
      </c>
      <c r="R55" s="4" t="s">
        <v>23</v>
      </c>
      <c r="S55" s="4" t="s">
        <v>64</v>
      </c>
      <c r="T55" s="4" t="s">
        <v>24</v>
      </c>
      <c r="U55" s="4" t="s">
        <v>529</v>
      </c>
      <c r="V55" s="9">
        <v>37830</v>
      </c>
      <c r="W55" s="10" t="str">
        <f t="shared" ca="1" si="8"/>
        <v>22 TAHUN 8 BULAN</v>
      </c>
      <c r="X55" s="11"/>
      <c r="Y55" s="4"/>
      <c r="Z55" s="4" t="s">
        <v>69</v>
      </c>
      <c r="AA55" s="38" t="s">
        <v>553</v>
      </c>
      <c r="AB55" s="4" t="s">
        <v>129</v>
      </c>
      <c r="AC55" s="38" t="s">
        <v>631</v>
      </c>
      <c r="AD55" s="38" t="s">
        <v>632</v>
      </c>
      <c r="AE55" s="38" t="s">
        <v>584</v>
      </c>
      <c r="AF55" s="4"/>
      <c r="AG55" s="4"/>
    </row>
    <row r="56" spans="1:33" x14ac:dyDescent="0.25">
      <c r="A56" s="6">
        <f t="shared" si="5"/>
        <v>54</v>
      </c>
      <c r="B56" s="4" t="s">
        <v>36</v>
      </c>
      <c r="C56" s="4" t="s">
        <v>812</v>
      </c>
      <c r="D56" s="38" t="s">
        <v>408</v>
      </c>
      <c r="E56" s="45" t="s">
        <v>252</v>
      </c>
      <c r="F56" s="35" t="s">
        <v>37</v>
      </c>
      <c r="G56" s="6"/>
      <c r="H56" s="14" t="s">
        <v>165</v>
      </c>
      <c r="I56" s="12" t="s">
        <v>442</v>
      </c>
      <c r="J56" s="38" t="s">
        <v>473</v>
      </c>
      <c r="K56" s="38" t="s">
        <v>473</v>
      </c>
      <c r="L56" s="38" t="s">
        <v>493</v>
      </c>
      <c r="M56" s="38" t="s">
        <v>205</v>
      </c>
      <c r="N56" s="38" t="s">
        <v>205</v>
      </c>
      <c r="O56" s="48" t="s">
        <v>150</v>
      </c>
      <c r="P56" s="4" t="s">
        <v>32</v>
      </c>
      <c r="Q56" s="4">
        <v>82346686539</v>
      </c>
      <c r="R56" s="4" t="s">
        <v>23</v>
      </c>
      <c r="S56" s="4" t="s">
        <v>64</v>
      </c>
      <c r="T56" s="4" t="s">
        <v>24</v>
      </c>
      <c r="U56" s="4" t="s">
        <v>504</v>
      </c>
      <c r="V56" s="9">
        <v>35104</v>
      </c>
      <c r="W56" s="10" t="str">
        <f t="shared" ca="1" si="8"/>
        <v>30 TAHUN 2 BULAN</v>
      </c>
      <c r="X56" s="11">
        <v>46049</v>
      </c>
      <c r="Y56" s="4" t="str">
        <f t="shared" ca="1" si="4"/>
        <v>0 TAHUN 2 BULAN</v>
      </c>
      <c r="Z56" s="4" t="s">
        <v>69</v>
      </c>
      <c r="AA56" s="38" t="s">
        <v>554</v>
      </c>
      <c r="AB56" s="4" t="s">
        <v>129</v>
      </c>
      <c r="AC56" s="38" t="s">
        <v>624</v>
      </c>
      <c r="AD56" s="38" t="s">
        <v>625</v>
      </c>
      <c r="AE56" s="56" t="s">
        <v>585</v>
      </c>
      <c r="AF56" s="4" t="s">
        <v>813</v>
      </c>
      <c r="AG56" s="4" t="s">
        <v>804</v>
      </c>
    </row>
    <row r="57" spans="1:33" x14ac:dyDescent="0.25">
      <c r="A57" s="6">
        <f t="shared" si="5"/>
        <v>55</v>
      </c>
      <c r="B57" s="4" t="s">
        <v>36</v>
      </c>
      <c r="C57" s="4" t="s">
        <v>828</v>
      </c>
      <c r="D57" s="38" t="s">
        <v>409</v>
      </c>
      <c r="E57" s="45" t="s">
        <v>252</v>
      </c>
      <c r="F57" s="35" t="s">
        <v>37</v>
      </c>
      <c r="G57" s="6"/>
      <c r="H57" s="14" t="s">
        <v>165</v>
      </c>
      <c r="I57" s="12" t="s">
        <v>443</v>
      </c>
      <c r="J57" s="38" t="s">
        <v>474</v>
      </c>
      <c r="K57" s="38" t="s">
        <v>474</v>
      </c>
      <c r="L57" s="38" t="s">
        <v>494</v>
      </c>
      <c r="M57" s="38" t="s">
        <v>507</v>
      </c>
      <c r="N57" s="38" t="s">
        <v>205</v>
      </c>
      <c r="O57" s="48" t="s">
        <v>150</v>
      </c>
      <c r="P57" s="4" t="s">
        <v>32</v>
      </c>
      <c r="Q57" s="4">
        <v>82134859764</v>
      </c>
      <c r="R57" s="4" t="s">
        <v>23</v>
      </c>
      <c r="S57" s="4" t="s">
        <v>64</v>
      </c>
      <c r="T57" s="4" t="s">
        <v>24</v>
      </c>
      <c r="U57" s="4" t="s">
        <v>530</v>
      </c>
      <c r="V57" s="9">
        <v>37827</v>
      </c>
      <c r="W57" s="10" t="str">
        <f t="shared" ca="1" si="8"/>
        <v>22 TAHUN 8 BULAN</v>
      </c>
      <c r="X57" s="11">
        <v>46049</v>
      </c>
      <c r="Y57" s="4" t="str">
        <f t="shared" ca="1" si="4"/>
        <v>0 TAHUN 2 BULAN</v>
      </c>
      <c r="Z57" s="4" t="s">
        <v>69</v>
      </c>
      <c r="AA57" s="38" t="s">
        <v>555</v>
      </c>
      <c r="AB57" s="4" t="s">
        <v>129</v>
      </c>
      <c r="AC57" s="38" t="s">
        <v>663</v>
      </c>
      <c r="AD57" s="38" t="s">
        <v>69</v>
      </c>
      <c r="AE57" s="56" t="s">
        <v>586</v>
      </c>
      <c r="AF57" s="4" t="s">
        <v>829</v>
      </c>
      <c r="AG57" s="29">
        <v>46114</v>
      </c>
    </row>
    <row r="58" spans="1:33" x14ac:dyDescent="0.25">
      <c r="A58" s="6">
        <f t="shared" si="5"/>
        <v>56</v>
      </c>
      <c r="B58" s="4" t="s">
        <v>36</v>
      </c>
      <c r="C58" s="4" t="s">
        <v>852</v>
      </c>
      <c r="D58" s="38" t="s">
        <v>410</v>
      </c>
      <c r="E58" s="45" t="s">
        <v>252</v>
      </c>
      <c r="F58" s="35" t="s">
        <v>37</v>
      </c>
      <c r="G58" s="6"/>
      <c r="H58" s="14" t="s">
        <v>165</v>
      </c>
      <c r="I58" s="12" t="s">
        <v>444</v>
      </c>
      <c r="J58" s="38" t="s">
        <v>279</v>
      </c>
      <c r="K58" s="38" t="s">
        <v>279</v>
      </c>
      <c r="L58" s="38" t="s">
        <v>495</v>
      </c>
      <c r="M58" s="38" t="s">
        <v>286</v>
      </c>
      <c r="N58" s="38" t="s">
        <v>205</v>
      </c>
      <c r="O58" s="48" t="s">
        <v>150</v>
      </c>
      <c r="P58" s="4" t="s">
        <v>32</v>
      </c>
      <c r="Q58" s="4">
        <v>82312187465</v>
      </c>
      <c r="R58" s="4" t="s">
        <v>23</v>
      </c>
      <c r="S58" s="4" t="s">
        <v>63</v>
      </c>
      <c r="T58" s="4" t="s">
        <v>650</v>
      </c>
      <c r="U58" s="4" t="s">
        <v>286</v>
      </c>
      <c r="V58" s="9">
        <v>35609</v>
      </c>
      <c r="W58" s="10" t="str">
        <f t="shared" ca="1" si="8"/>
        <v>28 TAHUN 9 BULAN</v>
      </c>
      <c r="X58" s="11">
        <v>46042</v>
      </c>
      <c r="Y58" s="4" t="str">
        <f t="shared" ca="1" si="4"/>
        <v>0 TAHUN 2 BULAN</v>
      </c>
      <c r="Z58" s="4" t="s">
        <v>69</v>
      </c>
      <c r="AA58" s="38" t="s">
        <v>173</v>
      </c>
      <c r="AB58" s="4" t="s">
        <v>129</v>
      </c>
      <c r="AC58" s="38" t="s">
        <v>651</v>
      </c>
      <c r="AD58" s="38" t="s">
        <v>69</v>
      </c>
      <c r="AE58" s="56" t="s">
        <v>587</v>
      </c>
      <c r="AF58" s="4" t="s">
        <v>853</v>
      </c>
      <c r="AG58" s="4" t="s">
        <v>818</v>
      </c>
    </row>
    <row r="59" spans="1:33" x14ac:dyDescent="0.25">
      <c r="A59" s="6">
        <f t="shared" si="5"/>
        <v>57</v>
      </c>
      <c r="B59" s="4" t="s">
        <v>36</v>
      </c>
      <c r="C59" s="4"/>
      <c r="D59" s="38" t="s">
        <v>411</v>
      </c>
      <c r="E59" s="45" t="s">
        <v>421</v>
      </c>
      <c r="F59" s="35" t="s">
        <v>37</v>
      </c>
      <c r="G59" s="6"/>
      <c r="H59" s="14" t="s">
        <v>165</v>
      </c>
      <c r="I59" s="12" t="s">
        <v>445</v>
      </c>
      <c r="J59" s="38" t="s">
        <v>475</v>
      </c>
      <c r="K59" s="38" t="s">
        <v>475</v>
      </c>
      <c r="L59" s="38" t="s">
        <v>475</v>
      </c>
      <c r="M59" s="38" t="s">
        <v>508</v>
      </c>
      <c r="N59" s="38" t="s">
        <v>205</v>
      </c>
      <c r="O59" s="48" t="s">
        <v>150</v>
      </c>
      <c r="P59" s="4" t="s">
        <v>32</v>
      </c>
      <c r="Q59" s="4">
        <v>82211756115</v>
      </c>
      <c r="R59" s="4" t="s">
        <v>23</v>
      </c>
      <c r="S59" s="4" t="s">
        <v>65</v>
      </c>
      <c r="T59" s="4" t="s">
        <v>24</v>
      </c>
      <c r="U59" s="4" t="s">
        <v>525</v>
      </c>
      <c r="V59" s="9">
        <v>37031</v>
      </c>
      <c r="W59" s="10" t="str">
        <f t="shared" ca="1" si="8"/>
        <v>24 TAHUN 10 BULAN</v>
      </c>
      <c r="X59" s="11"/>
      <c r="Y59" s="4"/>
      <c r="Z59" s="4" t="s">
        <v>67</v>
      </c>
      <c r="AA59" s="38" t="s">
        <v>556</v>
      </c>
      <c r="AB59" s="4" t="s">
        <v>129</v>
      </c>
      <c r="AC59" s="38" t="s">
        <v>664</v>
      </c>
      <c r="AD59" s="38" t="s">
        <v>665</v>
      </c>
      <c r="AE59" s="38" t="s">
        <v>588</v>
      </c>
      <c r="AF59" s="4"/>
      <c r="AG59" s="4"/>
    </row>
    <row r="60" spans="1:33" x14ac:dyDescent="0.25">
      <c r="A60" s="6">
        <f t="shared" si="5"/>
        <v>58</v>
      </c>
      <c r="B60" s="4" t="s">
        <v>36</v>
      </c>
      <c r="C60" s="4" t="s">
        <v>857</v>
      </c>
      <c r="D60" s="38" t="s">
        <v>412</v>
      </c>
      <c r="E60" s="45" t="s">
        <v>252</v>
      </c>
      <c r="F60" s="35" t="s">
        <v>37</v>
      </c>
      <c r="G60" s="6"/>
      <c r="H60" s="14" t="s">
        <v>165</v>
      </c>
      <c r="I60" s="12" t="s">
        <v>446</v>
      </c>
      <c r="J60" s="38" t="s">
        <v>476</v>
      </c>
      <c r="K60" s="38" t="s">
        <v>476</v>
      </c>
      <c r="L60" s="38" t="s">
        <v>496</v>
      </c>
      <c r="M60" s="38" t="s">
        <v>509</v>
      </c>
      <c r="N60" s="38" t="s">
        <v>205</v>
      </c>
      <c r="O60" s="48" t="s">
        <v>150</v>
      </c>
      <c r="P60" s="4" t="s">
        <v>32</v>
      </c>
      <c r="Q60" s="4">
        <v>82299709235</v>
      </c>
      <c r="R60" s="4" t="s">
        <v>23</v>
      </c>
      <c r="S60" s="4" t="s">
        <v>64</v>
      </c>
      <c r="T60" s="4" t="s">
        <v>24</v>
      </c>
      <c r="U60" s="4" t="s">
        <v>531</v>
      </c>
      <c r="V60" s="9">
        <v>36864</v>
      </c>
      <c r="W60" s="10" t="str">
        <f t="shared" ca="1" si="8"/>
        <v>25 TAHUN 4 BULAN</v>
      </c>
      <c r="X60" s="11">
        <v>46042</v>
      </c>
      <c r="Y60" s="4" t="str">
        <f t="shared" ca="1" si="4"/>
        <v>0 TAHUN 2 BULAN</v>
      </c>
      <c r="Z60" s="4" t="s">
        <v>69</v>
      </c>
      <c r="AA60" s="38" t="s">
        <v>557</v>
      </c>
      <c r="AB60" s="4" t="s">
        <v>129</v>
      </c>
      <c r="AC60" s="38" t="s">
        <v>645</v>
      </c>
      <c r="AD60" s="38" t="s">
        <v>646</v>
      </c>
      <c r="AE60" s="56" t="s">
        <v>589</v>
      </c>
      <c r="AF60" s="4" t="s">
        <v>858</v>
      </c>
      <c r="AG60" s="4" t="s">
        <v>804</v>
      </c>
    </row>
    <row r="61" spans="1:33" x14ac:dyDescent="0.25">
      <c r="A61" s="6">
        <f t="shared" si="5"/>
        <v>59</v>
      </c>
      <c r="B61" s="4" t="s">
        <v>36</v>
      </c>
      <c r="C61" s="4" t="s">
        <v>814</v>
      </c>
      <c r="D61" s="38" t="s">
        <v>413</v>
      </c>
      <c r="E61" s="45" t="s">
        <v>252</v>
      </c>
      <c r="F61" s="35" t="s">
        <v>37</v>
      </c>
      <c r="G61" s="6"/>
      <c r="H61" s="14" t="s">
        <v>165</v>
      </c>
      <c r="I61" s="12" t="s">
        <v>447</v>
      </c>
      <c r="J61" s="38" t="s">
        <v>477</v>
      </c>
      <c r="K61" s="38" t="s">
        <v>477</v>
      </c>
      <c r="L61" s="38" t="s">
        <v>487</v>
      </c>
      <c r="M61" s="38" t="s">
        <v>504</v>
      </c>
      <c r="N61" s="38" t="s">
        <v>205</v>
      </c>
      <c r="O61" s="48" t="s">
        <v>150</v>
      </c>
      <c r="P61" s="4" t="s">
        <v>32</v>
      </c>
      <c r="Q61" s="4">
        <v>82293509579</v>
      </c>
      <c r="R61" s="4" t="s">
        <v>23</v>
      </c>
      <c r="S61" s="4" t="s">
        <v>64</v>
      </c>
      <c r="T61" s="4" t="s">
        <v>24</v>
      </c>
      <c r="U61" s="4" t="s">
        <v>487</v>
      </c>
      <c r="V61" s="9">
        <v>36726</v>
      </c>
      <c r="W61" s="10" t="str">
        <f t="shared" ca="1" si="8"/>
        <v>25 TAHUN 8 BULAN</v>
      </c>
      <c r="X61" s="11">
        <v>46049</v>
      </c>
      <c r="Y61" s="4" t="str">
        <f t="shared" ca="1" si="4"/>
        <v>0 TAHUN 2 BULAN</v>
      </c>
      <c r="Z61" s="4" t="s">
        <v>69</v>
      </c>
      <c r="AA61" s="38" t="s">
        <v>537</v>
      </c>
      <c r="AB61" s="4" t="s">
        <v>129</v>
      </c>
      <c r="AC61" s="38" t="s">
        <v>666</v>
      </c>
      <c r="AD61" s="38" t="s">
        <v>69</v>
      </c>
      <c r="AE61" s="56" t="s">
        <v>590</v>
      </c>
      <c r="AF61" s="4" t="s">
        <v>815</v>
      </c>
      <c r="AG61" s="4" t="s">
        <v>801</v>
      </c>
    </row>
    <row r="62" spans="1:33" x14ac:dyDescent="0.25">
      <c r="A62" s="6">
        <f t="shared" si="5"/>
        <v>60</v>
      </c>
      <c r="B62" s="4" t="s">
        <v>36</v>
      </c>
      <c r="C62" s="4" t="s">
        <v>842</v>
      </c>
      <c r="D62" s="38" t="s">
        <v>414</v>
      </c>
      <c r="E62" s="45" t="s">
        <v>252</v>
      </c>
      <c r="F62" s="35" t="s">
        <v>37</v>
      </c>
      <c r="G62" s="6"/>
      <c r="H62" s="14" t="s">
        <v>165</v>
      </c>
      <c r="I62" s="12" t="s">
        <v>448</v>
      </c>
      <c r="J62" s="38" t="s">
        <v>478</v>
      </c>
      <c r="K62" s="38" t="s">
        <v>478</v>
      </c>
      <c r="L62" s="38" t="s">
        <v>148</v>
      </c>
      <c r="M62" s="38" t="s">
        <v>286</v>
      </c>
      <c r="N62" s="38" t="s">
        <v>205</v>
      </c>
      <c r="O62" s="48" t="s">
        <v>150</v>
      </c>
      <c r="P62" s="4" t="s">
        <v>32</v>
      </c>
      <c r="Q62" s="4">
        <v>85240721766</v>
      </c>
      <c r="R62" s="4" t="s">
        <v>23</v>
      </c>
      <c r="S62" s="4" t="s">
        <v>64</v>
      </c>
      <c r="T62" s="4" t="s">
        <v>24</v>
      </c>
      <c r="U62" s="4" t="s">
        <v>487</v>
      </c>
      <c r="V62" s="9">
        <v>37298</v>
      </c>
      <c r="W62" s="10" t="str">
        <f t="shared" ca="1" si="8"/>
        <v>24 TAHUN 1 BULAN</v>
      </c>
      <c r="X62" s="11">
        <v>46059</v>
      </c>
      <c r="Y62" s="4" t="str">
        <f t="shared" ca="1" si="4"/>
        <v>0 TAHUN 2 BULAN</v>
      </c>
      <c r="Z62" s="4" t="s">
        <v>69</v>
      </c>
      <c r="AA62" s="38" t="s">
        <v>558</v>
      </c>
      <c r="AB62" s="4" t="s">
        <v>129</v>
      </c>
      <c r="AC62" s="38" t="s">
        <v>621</v>
      </c>
      <c r="AD62" s="38" t="s">
        <v>69</v>
      </c>
      <c r="AE62" s="56" t="s">
        <v>591</v>
      </c>
      <c r="AF62" s="4" t="s">
        <v>843</v>
      </c>
      <c r="AG62" s="4" t="s">
        <v>844</v>
      </c>
    </row>
    <row r="63" spans="1:33" x14ac:dyDescent="0.25">
      <c r="A63" s="6">
        <f t="shared" si="5"/>
        <v>61</v>
      </c>
      <c r="B63" s="4" t="s">
        <v>36</v>
      </c>
      <c r="C63" s="4" t="s">
        <v>833</v>
      </c>
      <c r="D63" s="38" t="s">
        <v>415</v>
      </c>
      <c r="E63" s="45" t="s">
        <v>252</v>
      </c>
      <c r="F63" s="35" t="s">
        <v>37</v>
      </c>
      <c r="G63" s="6"/>
      <c r="H63" s="14" t="s">
        <v>165</v>
      </c>
      <c r="I63" s="12" t="s">
        <v>449</v>
      </c>
      <c r="J63" s="38" t="s">
        <v>479</v>
      </c>
      <c r="K63" s="38" t="s">
        <v>479</v>
      </c>
      <c r="L63" s="38" t="s">
        <v>497</v>
      </c>
      <c r="M63" s="38" t="s">
        <v>510</v>
      </c>
      <c r="N63" s="38" t="s">
        <v>514</v>
      </c>
      <c r="O63" s="38" t="s">
        <v>518</v>
      </c>
      <c r="P63" s="4" t="s">
        <v>516</v>
      </c>
      <c r="Q63" s="4">
        <v>82310065399</v>
      </c>
      <c r="R63" s="4" t="s">
        <v>23</v>
      </c>
      <c r="S63" s="4" t="s">
        <v>65</v>
      </c>
      <c r="T63" s="4" t="s">
        <v>24</v>
      </c>
      <c r="U63" s="4" t="s">
        <v>532</v>
      </c>
      <c r="V63" s="9">
        <v>37198</v>
      </c>
      <c r="W63" s="10" t="str">
        <f t="shared" ca="1" si="8"/>
        <v>24 TAHUN 5 BULAN</v>
      </c>
      <c r="X63" s="11">
        <v>46059</v>
      </c>
      <c r="Y63" s="4" t="str">
        <f t="shared" ca="1" si="4"/>
        <v>0 TAHUN 2 BULAN</v>
      </c>
      <c r="Z63" s="4" t="s">
        <v>68</v>
      </c>
      <c r="AA63" s="38" t="s">
        <v>559</v>
      </c>
      <c r="AB63" s="4" t="s">
        <v>129</v>
      </c>
      <c r="AC63" s="38" t="s">
        <v>637</v>
      </c>
      <c r="AD63" s="38" t="s">
        <v>638</v>
      </c>
      <c r="AE63" s="38" t="s">
        <v>592</v>
      </c>
      <c r="AF63" s="4" t="s">
        <v>834</v>
      </c>
      <c r="AG63" s="4" t="s">
        <v>835</v>
      </c>
    </row>
    <row r="64" spans="1:33" x14ac:dyDescent="0.25">
      <c r="A64" s="6">
        <f t="shared" si="5"/>
        <v>62</v>
      </c>
      <c r="B64" s="4" t="s">
        <v>36</v>
      </c>
      <c r="C64" s="4" t="s">
        <v>816</v>
      </c>
      <c r="D64" s="38" t="s">
        <v>416</v>
      </c>
      <c r="E64" s="45" t="s">
        <v>252</v>
      </c>
      <c r="F64" s="35" t="s">
        <v>37</v>
      </c>
      <c r="G64" s="6"/>
      <c r="H64" s="14" t="s">
        <v>165</v>
      </c>
      <c r="I64" s="12" t="s">
        <v>450</v>
      </c>
      <c r="J64" s="38" t="s">
        <v>480</v>
      </c>
      <c r="K64" s="38" t="s">
        <v>480</v>
      </c>
      <c r="L64" s="38" t="s">
        <v>498</v>
      </c>
      <c r="M64" s="38" t="s">
        <v>199</v>
      </c>
      <c r="N64" s="38" t="s">
        <v>205</v>
      </c>
      <c r="O64" s="48" t="s">
        <v>150</v>
      </c>
      <c r="P64" s="4" t="s">
        <v>32</v>
      </c>
      <c r="Q64" s="4">
        <v>85656082410</v>
      </c>
      <c r="R64" s="4" t="s">
        <v>23</v>
      </c>
      <c r="S64" s="4" t="s">
        <v>64</v>
      </c>
      <c r="T64" s="4" t="s">
        <v>24</v>
      </c>
      <c r="U64" s="4" t="s">
        <v>294</v>
      </c>
      <c r="V64" s="9">
        <v>37823</v>
      </c>
      <c r="W64" s="10" t="str">
        <f t="shared" ca="1" si="8"/>
        <v>22 TAHUN 8 BULAN</v>
      </c>
      <c r="X64" s="11">
        <v>46049</v>
      </c>
      <c r="Y64" s="4" t="str">
        <f t="shared" ca="1" si="4"/>
        <v>0 TAHUN 2 BULAN</v>
      </c>
      <c r="Z64" s="4" t="s">
        <v>69</v>
      </c>
      <c r="AA64" s="38" t="s">
        <v>560</v>
      </c>
      <c r="AB64" s="4" t="s">
        <v>129</v>
      </c>
      <c r="AC64" s="38" t="s">
        <v>655</v>
      </c>
      <c r="AD64" s="38" t="s">
        <v>69</v>
      </c>
      <c r="AE64" s="56" t="s">
        <v>593</v>
      </c>
      <c r="AF64" s="4" t="s">
        <v>817</v>
      </c>
      <c r="AG64" s="4" t="s">
        <v>818</v>
      </c>
    </row>
    <row r="65" spans="1:33" x14ac:dyDescent="0.25">
      <c r="A65" s="6">
        <f t="shared" si="5"/>
        <v>63</v>
      </c>
      <c r="B65" s="4" t="s">
        <v>36</v>
      </c>
      <c r="C65" s="4" t="s">
        <v>819</v>
      </c>
      <c r="D65" s="38" t="s">
        <v>417</v>
      </c>
      <c r="E65" s="45" t="s">
        <v>252</v>
      </c>
      <c r="F65" s="35" t="s">
        <v>37</v>
      </c>
      <c r="G65" s="6"/>
      <c r="H65" s="14" t="s">
        <v>165</v>
      </c>
      <c r="I65" s="12" t="s">
        <v>451</v>
      </c>
      <c r="J65" s="38" t="s">
        <v>481</v>
      </c>
      <c r="K65" s="38" t="s">
        <v>481</v>
      </c>
      <c r="L65" s="38" t="s">
        <v>499</v>
      </c>
      <c r="M65" s="38" t="s">
        <v>511</v>
      </c>
      <c r="N65" s="38" t="s">
        <v>515</v>
      </c>
      <c r="O65" s="48" t="s">
        <v>151</v>
      </c>
      <c r="P65" s="4" t="s">
        <v>516</v>
      </c>
      <c r="Q65" s="4">
        <v>82268645177</v>
      </c>
      <c r="R65" s="4" t="s">
        <v>23</v>
      </c>
      <c r="S65" s="4" t="s">
        <v>64</v>
      </c>
      <c r="T65" s="4" t="s">
        <v>24</v>
      </c>
      <c r="U65" s="4" t="s">
        <v>515</v>
      </c>
      <c r="V65" s="9">
        <v>38151</v>
      </c>
      <c r="W65" s="10" t="str">
        <f t="shared" ca="1" si="8"/>
        <v>21 TAHUN 9 BULAN</v>
      </c>
      <c r="X65" s="11">
        <v>46049</v>
      </c>
      <c r="Y65" s="4" t="str">
        <f t="shared" ca="1" si="4"/>
        <v>0 TAHUN 2 BULAN</v>
      </c>
      <c r="Z65" s="4" t="s">
        <v>69</v>
      </c>
      <c r="AA65" s="38" t="s">
        <v>561</v>
      </c>
      <c r="AB65" s="4" t="s">
        <v>129</v>
      </c>
      <c r="AC65" s="38" t="s">
        <v>633</v>
      </c>
      <c r="AD65" s="38" t="s">
        <v>69</v>
      </c>
      <c r="AE65" s="56" t="s">
        <v>594</v>
      </c>
      <c r="AF65" s="4" t="s">
        <v>820</v>
      </c>
      <c r="AG65" s="4" t="s">
        <v>804</v>
      </c>
    </row>
    <row r="66" spans="1:33" x14ac:dyDescent="0.25">
      <c r="A66" s="6">
        <f t="shared" si="5"/>
        <v>64</v>
      </c>
      <c r="B66" s="4" t="s">
        <v>36</v>
      </c>
      <c r="C66" s="4"/>
      <c r="D66" s="38" t="s">
        <v>418</v>
      </c>
      <c r="E66" s="45" t="s">
        <v>252</v>
      </c>
      <c r="F66" s="35" t="s">
        <v>37</v>
      </c>
      <c r="G66" s="6"/>
      <c r="H66" s="14" t="s">
        <v>165</v>
      </c>
      <c r="I66" s="12" t="s">
        <v>452</v>
      </c>
      <c r="J66" s="38" t="s">
        <v>482</v>
      </c>
      <c r="K66" s="38" t="s">
        <v>482</v>
      </c>
      <c r="L66" s="38" t="s">
        <v>500</v>
      </c>
      <c r="M66" s="38" t="s">
        <v>512</v>
      </c>
      <c r="N66" s="38" t="s">
        <v>205</v>
      </c>
      <c r="O66" s="48" t="s">
        <v>150</v>
      </c>
      <c r="P66" s="4" t="s">
        <v>32</v>
      </c>
      <c r="Q66" s="4">
        <v>85822120382</v>
      </c>
      <c r="R66" s="4" t="s">
        <v>23</v>
      </c>
      <c r="S66" s="4" t="s">
        <v>64</v>
      </c>
      <c r="T66" s="4" t="s">
        <v>24</v>
      </c>
      <c r="U66" s="4" t="s">
        <v>533</v>
      </c>
      <c r="V66" s="9">
        <v>36525</v>
      </c>
      <c r="W66" s="10" t="str">
        <f t="shared" ca="1" si="8"/>
        <v>26 TAHUN 3 BULAN</v>
      </c>
      <c r="X66" s="11"/>
      <c r="Y66" s="4"/>
      <c r="Z66" s="4" t="s">
        <v>69</v>
      </c>
      <c r="AA66" s="38" t="s">
        <v>562</v>
      </c>
      <c r="AB66" s="4" t="s">
        <v>129</v>
      </c>
      <c r="AC66" s="38" t="s">
        <v>598</v>
      </c>
      <c r="AD66" s="38" t="s">
        <v>599</v>
      </c>
      <c r="AE66" s="56" t="s">
        <v>595</v>
      </c>
      <c r="AF66" s="4"/>
      <c r="AG66" s="4"/>
    </row>
    <row r="67" spans="1:33" x14ac:dyDescent="0.25">
      <c r="A67" s="6">
        <f t="shared" si="5"/>
        <v>65</v>
      </c>
      <c r="B67" s="4" t="s">
        <v>36</v>
      </c>
      <c r="C67" s="4" t="s">
        <v>836</v>
      </c>
      <c r="D67" s="38" t="s">
        <v>419</v>
      </c>
      <c r="E67" s="45" t="s">
        <v>252</v>
      </c>
      <c r="F67" s="35" t="s">
        <v>37</v>
      </c>
      <c r="G67" s="6"/>
      <c r="H67" s="14" t="s">
        <v>165</v>
      </c>
      <c r="I67" s="12" t="s">
        <v>453</v>
      </c>
      <c r="J67" s="38" t="s">
        <v>483</v>
      </c>
      <c r="K67" s="38" t="s">
        <v>483</v>
      </c>
      <c r="L67" s="38" t="s">
        <v>501</v>
      </c>
      <c r="M67" s="38" t="s">
        <v>205</v>
      </c>
      <c r="N67" s="38" t="s">
        <v>205</v>
      </c>
      <c r="O67" s="48" t="s">
        <v>150</v>
      </c>
      <c r="P67" s="4" t="s">
        <v>32</v>
      </c>
      <c r="Q67" s="4">
        <v>82292197791</v>
      </c>
      <c r="R67" s="4" t="s">
        <v>300</v>
      </c>
      <c r="S67" s="4" t="s">
        <v>64</v>
      </c>
      <c r="T67" s="4" t="s">
        <v>24</v>
      </c>
      <c r="U67" s="4" t="s">
        <v>149</v>
      </c>
      <c r="V67" s="9">
        <v>32906</v>
      </c>
      <c r="W67" s="10" t="str">
        <f t="shared" ca="1" si="8"/>
        <v>36 TAHUN 2 BULAN</v>
      </c>
      <c r="X67" s="11">
        <v>46059</v>
      </c>
      <c r="Y67" s="4" t="str">
        <f t="shared" ca="1" si="4"/>
        <v>0 TAHUN 2 BULAN</v>
      </c>
      <c r="Z67" s="4" t="s">
        <v>69</v>
      </c>
      <c r="AA67" s="38" t="s">
        <v>563</v>
      </c>
      <c r="AB67" s="4" t="s">
        <v>129</v>
      </c>
      <c r="AC67" s="38" t="s">
        <v>628</v>
      </c>
      <c r="AD67" s="38" t="s">
        <v>629</v>
      </c>
      <c r="AE67" s="56" t="s">
        <v>596</v>
      </c>
      <c r="AF67" s="4" t="s">
        <v>837</v>
      </c>
      <c r="AG67" s="4" t="s">
        <v>818</v>
      </c>
    </row>
    <row r="68" spans="1:33" x14ac:dyDescent="0.25">
      <c r="A68" s="6">
        <f t="shared" si="5"/>
        <v>66</v>
      </c>
      <c r="B68" s="4" t="s">
        <v>36</v>
      </c>
      <c r="C68" s="4" t="s">
        <v>821</v>
      </c>
      <c r="D68" s="38" t="s">
        <v>420</v>
      </c>
      <c r="E68" s="45" t="s">
        <v>252</v>
      </c>
      <c r="F68" s="35" t="s">
        <v>37</v>
      </c>
      <c r="G68" s="6"/>
      <c r="H68" s="14" t="s">
        <v>165</v>
      </c>
      <c r="I68" s="12" t="s">
        <v>454</v>
      </c>
      <c r="J68" s="38" t="s">
        <v>484</v>
      </c>
      <c r="K68" s="38" t="s">
        <v>484</v>
      </c>
      <c r="L68" s="38" t="s">
        <v>495</v>
      </c>
      <c r="M68" s="38" t="s">
        <v>286</v>
      </c>
      <c r="N68" s="38" t="s">
        <v>205</v>
      </c>
      <c r="O68" s="48" t="s">
        <v>150</v>
      </c>
      <c r="P68" s="4" t="s">
        <v>32</v>
      </c>
      <c r="Q68" s="4">
        <v>82290190323</v>
      </c>
      <c r="R68" s="4" t="s">
        <v>23</v>
      </c>
      <c r="S68" s="4" t="s">
        <v>64</v>
      </c>
      <c r="T68" s="4" t="s">
        <v>66</v>
      </c>
      <c r="U68" s="4" t="s">
        <v>534</v>
      </c>
      <c r="V68" s="9">
        <v>36021</v>
      </c>
      <c r="W68" s="10" t="str">
        <f t="shared" ca="1" si="8"/>
        <v>27 TAHUN 7 BULAN</v>
      </c>
      <c r="X68" s="11">
        <v>46066</v>
      </c>
      <c r="Y68" s="4" t="str">
        <f t="shared" ca="1" si="4"/>
        <v>0 TAHUN 1 BULAN</v>
      </c>
      <c r="Z68" s="4" t="s">
        <v>69</v>
      </c>
      <c r="AA68" s="38" t="s">
        <v>564</v>
      </c>
      <c r="AB68" s="4" t="s">
        <v>129</v>
      </c>
      <c r="AC68" s="38" t="s">
        <v>617</v>
      </c>
      <c r="AD68" s="38" t="s">
        <v>618</v>
      </c>
      <c r="AE68" s="38" t="s">
        <v>597</v>
      </c>
      <c r="AF68" s="4" t="s">
        <v>822</v>
      </c>
      <c r="AG68" s="4" t="s">
        <v>804</v>
      </c>
    </row>
    <row r="69" spans="1:33" x14ac:dyDescent="0.25">
      <c r="A69" s="6">
        <f t="shared" si="5"/>
        <v>67</v>
      </c>
      <c r="B69" s="4" t="s">
        <v>36</v>
      </c>
      <c r="C69" s="4" t="s">
        <v>845</v>
      </c>
      <c r="D69" s="39" t="s">
        <v>667</v>
      </c>
      <c r="E69" s="45" t="s">
        <v>252</v>
      </c>
      <c r="F69" s="35" t="s">
        <v>37</v>
      </c>
      <c r="G69" s="6"/>
      <c r="H69" s="14" t="s">
        <v>165</v>
      </c>
      <c r="I69" s="12" t="s">
        <v>692</v>
      </c>
      <c r="J69" s="38" t="s">
        <v>693</v>
      </c>
      <c r="K69" s="38" t="s">
        <v>693</v>
      </c>
      <c r="L69" s="38" t="s">
        <v>694</v>
      </c>
      <c r="M69" s="38" t="s">
        <v>292</v>
      </c>
      <c r="N69" s="38" t="s">
        <v>205</v>
      </c>
      <c r="O69" s="38" t="s">
        <v>695</v>
      </c>
      <c r="P69" s="4" t="s">
        <v>32</v>
      </c>
      <c r="Q69" s="4">
        <v>82210948783</v>
      </c>
      <c r="R69" s="4" t="s">
        <v>23</v>
      </c>
      <c r="S69" s="4"/>
      <c r="T69" s="4"/>
      <c r="U69" s="4" t="s">
        <v>292</v>
      </c>
      <c r="V69" s="9">
        <v>39077</v>
      </c>
      <c r="W69" s="10" t="str">
        <f t="shared" ca="1" si="8"/>
        <v>19 TAHUN 3 BULAN</v>
      </c>
      <c r="X69" s="11">
        <v>46059</v>
      </c>
      <c r="Y69" s="4" t="str">
        <f t="shared" ca="1" si="4"/>
        <v>0 TAHUN 2 BULAN</v>
      </c>
      <c r="Z69" s="4" t="s">
        <v>69</v>
      </c>
      <c r="AA69" s="38"/>
      <c r="AB69" s="4" t="s">
        <v>129</v>
      </c>
      <c r="AC69" s="38"/>
      <c r="AD69" s="38"/>
      <c r="AE69" s="38"/>
      <c r="AF69" s="4" t="s">
        <v>846</v>
      </c>
      <c r="AG69" s="4" t="s">
        <v>844</v>
      </c>
    </row>
    <row r="70" spans="1:33" s="30" customFormat="1" x14ac:dyDescent="0.25">
      <c r="A70" s="4">
        <f t="shared" si="5"/>
        <v>68</v>
      </c>
      <c r="B70" s="4" t="s">
        <v>36</v>
      </c>
      <c r="C70" s="4"/>
      <c r="D70" s="40" t="s">
        <v>668</v>
      </c>
      <c r="E70" s="45" t="s">
        <v>253</v>
      </c>
      <c r="F70" s="35" t="s">
        <v>37</v>
      </c>
      <c r="G70" s="4"/>
      <c r="H70" s="14" t="s">
        <v>165</v>
      </c>
      <c r="I70" s="31" t="s">
        <v>696</v>
      </c>
      <c r="J70" s="38" t="s">
        <v>698</v>
      </c>
      <c r="K70" s="38" t="s">
        <v>698</v>
      </c>
      <c r="L70" s="38" t="s">
        <v>699</v>
      </c>
      <c r="M70" s="38" t="s">
        <v>292</v>
      </c>
      <c r="N70" s="38" t="s">
        <v>205</v>
      </c>
      <c r="O70" s="48" t="s">
        <v>150</v>
      </c>
      <c r="P70" s="14" t="s">
        <v>32</v>
      </c>
      <c r="Q70" s="4">
        <v>85216354575</v>
      </c>
      <c r="R70" s="14" t="s">
        <v>23</v>
      </c>
      <c r="S70" s="4"/>
      <c r="T70" s="4"/>
      <c r="U70" s="4" t="s">
        <v>288</v>
      </c>
      <c r="V70" s="9">
        <v>36731</v>
      </c>
      <c r="W70" s="10" t="str">
        <f t="shared" ca="1" si="8"/>
        <v>25 TAHUN 8 BULAN</v>
      </c>
      <c r="X70" s="4"/>
      <c r="Y70" s="4"/>
      <c r="Z70" s="4"/>
      <c r="AA70" s="38" t="s">
        <v>741</v>
      </c>
      <c r="AB70" s="4" t="s">
        <v>129</v>
      </c>
      <c r="AC70" s="38"/>
      <c r="AD70" s="38"/>
      <c r="AE70" s="56" t="s">
        <v>700</v>
      </c>
      <c r="AF70" s="4"/>
      <c r="AG70" s="4"/>
    </row>
    <row r="71" spans="1:33" x14ac:dyDescent="0.25">
      <c r="A71" s="6">
        <f t="shared" si="5"/>
        <v>69</v>
      </c>
      <c r="B71" s="4" t="s">
        <v>36</v>
      </c>
      <c r="C71" s="4"/>
      <c r="D71" s="40" t="s">
        <v>669</v>
      </c>
      <c r="E71" s="45" t="s">
        <v>253</v>
      </c>
      <c r="F71" s="35" t="s">
        <v>37</v>
      </c>
      <c r="G71" s="6"/>
      <c r="H71" s="14" t="s">
        <v>165</v>
      </c>
      <c r="I71" s="12" t="s">
        <v>701</v>
      </c>
      <c r="J71" s="38" t="s">
        <v>702</v>
      </c>
      <c r="K71" s="38" t="s">
        <v>702</v>
      </c>
      <c r="L71" s="38" t="s">
        <v>703</v>
      </c>
      <c r="M71" s="38" t="s">
        <v>143</v>
      </c>
      <c r="N71" s="38" t="s">
        <v>149</v>
      </c>
      <c r="O71" s="48" t="s">
        <v>150</v>
      </c>
      <c r="P71" s="4" t="s">
        <v>517</v>
      </c>
      <c r="Q71" s="4">
        <v>82235899148</v>
      </c>
      <c r="R71" s="4" t="s">
        <v>23</v>
      </c>
      <c r="S71" s="4"/>
      <c r="T71" s="4"/>
      <c r="U71" s="4" t="s">
        <v>704</v>
      </c>
      <c r="V71" s="9">
        <v>38490</v>
      </c>
      <c r="W71" s="10" t="str">
        <f t="shared" ca="1" si="8"/>
        <v>20 TAHUN 10 BULAN</v>
      </c>
      <c r="X71" s="4"/>
      <c r="Y71" s="4"/>
      <c r="Z71" s="4"/>
      <c r="AA71" s="38" t="s">
        <v>706</v>
      </c>
      <c r="AB71" s="4" t="s">
        <v>129</v>
      </c>
      <c r="AC71" s="38"/>
      <c r="AD71" s="38"/>
      <c r="AE71" s="38" t="s">
        <v>705</v>
      </c>
      <c r="AF71" s="4"/>
      <c r="AG71" s="4"/>
    </row>
    <row r="72" spans="1:33" x14ac:dyDescent="0.25">
      <c r="A72" s="6">
        <f t="shared" si="5"/>
        <v>70</v>
      </c>
      <c r="B72" s="4" t="s">
        <v>36</v>
      </c>
      <c r="C72" s="4"/>
      <c r="D72" s="40" t="s">
        <v>670</v>
      </c>
      <c r="E72" s="45" t="s">
        <v>253</v>
      </c>
      <c r="F72" s="35" t="s">
        <v>37</v>
      </c>
      <c r="G72" s="6"/>
      <c r="H72" s="14" t="s">
        <v>165</v>
      </c>
      <c r="I72" s="12" t="s">
        <v>707</v>
      </c>
      <c r="J72" s="38" t="s">
        <v>708</v>
      </c>
      <c r="K72" s="38" t="s">
        <v>708</v>
      </c>
      <c r="L72" s="38" t="s">
        <v>164</v>
      </c>
      <c r="M72" s="38" t="s">
        <v>286</v>
      </c>
      <c r="N72" s="38" t="s">
        <v>149</v>
      </c>
      <c r="O72" s="48" t="s">
        <v>150</v>
      </c>
      <c r="P72" s="4" t="s">
        <v>517</v>
      </c>
      <c r="Q72" s="4">
        <v>85319514875</v>
      </c>
      <c r="R72" s="4" t="s">
        <v>23</v>
      </c>
      <c r="S72" s="4"/>
      <c r="T72" s="4"/>
      <c r="U72" s="4" t="s">
        <v>286</v>
      </c>
      <c r="V72" s="9">
        <v>36880</v>
      </c>
      <c r="W72" s="10" t="str">
        <f t="shared" ca="1" si="8"/>
        <v>25 TAHUN 3 BULAN</v>
      </c>
      <c r="X72" s="4"/>
      <c r="Y72" s="4"/>
      <c r="Z72" s="4"/>
      <c r="AA72" s="38" t="s">
        <v>709</v>
      </c>
      <c r="AB72" s="4" t="s">
        <v>129</v>
      </c>
      <c r="AC72" s="38"/>
      <c r="AD72" s="38"/>
      <c r="AE72" s="38" t="s">
        <v>710</v>
      </c>
      <c r="AF72" s="4"/>
      <c r="AG72" s="4"/>
    </row>
    <row r="73" spans="1:33" x14ac:dyDescent="0.25">
      <c r="A73" s="6">
        <f t="shared" si="5"/>
        <v>71</v>
      </c>
      <c r="B73" s="4" t="s">
        <v>36</v>
      </c>
      <c r="C73" s="4"/>
      <c r="D73" s="40" t="s">
        <v>671</v>
      </c>
      <c r="E73" s="45" t="s">
        <v>253</v>
      </c>
      <c r="F73" s="35" t="s">
        <v>37</v>
      </c>
      <c r="G73" s="6"/>
      <c r="H73" s="14" t="s">
        <v>165</v>
      </c>
      <c r="I73" s="12" t="s">
        <v>711</v>
      </c>
      <c r="J73" s="38" t="s">
        <v>712</v>
      </c>
      <c r="K73" s="38" t="s">
        <v>712</v>
      </c>
      <c r="L73" s="38" t="s">
        <v>713</v>
      </c>
      <c r="M73" s="38" t="s">
        <v>205</v>
      </c>
      <c r="N73" s="38" t="s">
        <v>149</v>
      </c>
      <c r="O73" s="48" t="s">
        <v>150</v>
      </c>
      <c r="P73" s="4" t="s">
        <v>517</v>
      </c>
      <c r="Q73" s="4">
        <v>87756930816</v>
      </c>
      <c r="R73" s="4" t="s">
        <v>23</v>
      </c>
      <c r="S73" s="4"/>
      <c r="T73" s="4"/>
      <c r="U73" s="4" t="s">
        <v>149</v>
      </c>
      <c r="V73" s="9">
        <v>38841</v>
      </c>
      <c r="W73" s="10" t="str">
        <f t="shared" ca="1" si="8"/>
        <v>19 TAHUN 11 BULAN</v>
      </c>
      <c r="X73" s="4"/>
      <c r="Y73" s="4"/>
      <c r="Z73" s="4"/>
      <c r="AA73" s="38" t="s">
        <v>714</v>
      </c>
      <c r="AB73" s="4" t="s">
        <v>129</v>
      </c>
      <c r="AC73" s="38"/>
      <c r="AD73" s="38"/>
      <c r="AE73" s="38" t="s">
        <v>715</v>
      </c>
      <c r="AF73" s="4"/>
      <c r="AG73" s="4"/>
    </row>
    <row r="74" spans="1:33" x14ac:dyDescent="0.25">
      <c r="A74" s="6">
        <f t="shared" si="5"/>
        <v>72</v>
      </c>
      <c r="B74" s="4" t="s">
        <v>36</v>
      </c>
      <c r="C74" s="4"/>
      <c r="D74" s="40" t="s">
        <v>672</v>
      </c>
      <c r="E74" s="45" t="s">
        <v>253</v>
      </c>
      <c r="F74" s="35" t="s">
        <v>37</v>
      </c>
      <c r="G74" s="6"/>
      <c r="H74" s="14" t="s">
        <v>165</v>
      </c>
      <c r="I74" s="12" t="s">
        <v>716</v>
      </c>
      <c r="J74" s="38" t="s">
        <v>484</v>
      </c>
      <c r="K74" s="38" t="s">
        <v>484</v>
      </c>
      <c r="L74" s="38" t="s">
        <v>717</v>
      </c>
      <c r="M74" s="38" t="s">
        <v>718</v>
      </c>
      <c r="N74" s="38" t="s">
        <v>149</v>
      </c>
      <c r="O74" s="48" t="s">
        <v>150</v>
      </c>
      <c r="P74" s="4" t="s">
        <v>517</v>
      </c>
      <c r="Q74" s="4">
        <v>89505932808</v>
      </c>
      <c r="R74" s="4" t="s">
        <v>23</v>
      </c>
      <c r="S74" s="4"/>
      <c r="T74" s="4"/>
      <c r="U74" s="4" t="s">
        <v>717</v>
      </c>
      <c r="V74" s="9">
        <v>39283</v>
      </c>
      <c r="W74" s="10" t="str">
        <f t="shared" ca="1" si="8"/>
        <v>18 TAHUN 8 BULAN</v>
      </c>
      <c r="X74" s="4"/>
      <c r="Y74" s="4"/>
      <c r="Z74" s="4"/>
      <c r="AA74" s="38" t="s">
        <v>719</v>
      </c>
      <c r="AB74" s="4" t="s">
        <v>129</v>
      </c>
      <c r="AC74" s="38"/>
      <c r="AD74" s="38"/>
      <c r="AE74" s="38" t="s">
        <v>720</v>
      </c>
      <c r="AF74" s="4"/>
      <c r="AG74" s="4"/>
    </row>
    <row r="75" spans="1:33" x14ac:dyDescent="0.25">
      <c r="A75" s="6">
        <f t="shared" si="5"/>
        <v>73</v>
      </c>
      <c r="B75" s="4" t="s">
        <v>36</v>
      </c>
      <c r="C75" s="4"/>
      <c r="D75" s="40" t="s">
        <v>673</v>
      </c>
      <c r="E75" s="45" t="s">
        <v>253</v>
      </c>
      <c r="F75" s="35" t="s">
        <v>37</v>
      </c>
      <c r="G75" s="6"/>
      <c r="H75" s="14" t="s">
        <v>165</v>
      </c>
      <c r="I75" s="12" t="s">
        <v>723</v>
      </c>
      <c r="J75" s="38" t="s">
        <v>721</v>
      </c>
      <c r="K75" s="38" t="s">
        <v>721</v>
      </c>
      <c r="L75" s="38" t="s">
        <v>286</v>
      </c>
      <c r="M75" s="38" t="s">
        <v>286</v>
      </c>
      <c r="N75" s="38" t="s">
        <v>149</v>
      </c>
      <c r="O75" s="48" t="s">
        <v>150</v>
      </c>
      <c r="P75" s="4" t="s">
        <v>517</v>
      </c>
      <c r="Q75" s="4">
        <v>81244528883</v>
      </c>
      <c r="R75" s="4" t="s">
        <v>23</v>
      </c>
      <c r="S75" s="4"/>
      <c r="T75" s="4"/>
      <c r="U75" s="4" t="s">
        <v>286</v>
      </c>
      <c r="V75" s="9">
        <v>38169</v>
      </c>
      <c r="W75" s="10" t="str">
        <f t="shared" ca="1" si="8"/>
        <v>21 TAHUN 9 BULAN</v>
      </c>
      <c r="X75" s="4"/>
      <c r="Y75" s="4"/>
      <c r="Z75" s="4"/>
      <c r="AA75" s="38" t="s">
        <v>306</v>
      </c>
      <c r="AB75" s="4" t="s">
        <v>129</v>
      </c>
      <c r="AC75" s="38"/>
      <c r="AD75" s="38"/>
      <c r="AE75" s="56" t="s">
        <v>722</v>
      </c>
      <c r="AF75" s="4"/>
      <c r="AG75" s="4"/>
    </row>
    <row r="76" spans="1:33" x14ac:dyDescent="0.25">
      <c r="A76" s="6">
        <f t="shared" si="5"/>
        <v>74</v>
      </c>
      <c r="B76" s="4" t="s">
        <v>36</v>
      </c>
      <c r="C76" s="4"/>
      <c r="D76" s="40" t="s">
        <v>674</v>
      </c>
      <c r="E76" s="45" t="s">
        <v>253</v>
      </c>
      <c r="F76" s="35" t="s">
        <v>37</v>
      </c>
      <c r="G76" s="6"/>
      <c r="H76" s="14" t="s">
        <v>165</v>
      </c>
      <c r="I76" s="12" t="s">
        <v>727</v>
      </c>
      <c r="J76" s="38" t="s">
        <v>724</v>
      </c>
      <c r="K76" s="38" t="s">
        <v>724</v>
      </c>
      <c r="L76" s="38" t="s">
        <v>725</v>
      </c>
      <c r="M76" s="38" t="s">
        <v>149</v>
      </c>
      <c r="N76" s="38" t="s">
        <v>149</v>
      </c>
      <c r="O76" s="48" t="s">
        <v>150</v>
      </c>
      <c r="P76" s="4" t="s">
        <v>517</v>
      </c>
      <c r="Q76" s="4">
        <v>82393058824</v>
      </c>
      <c r="R76" s="4" t="s">
        <v>23</v>
      </c>
      <c r="S76" s="4"/>
      <c r="T76" s="4"/>
      <c r="U76" s="4" t="s">
        <v>149</v>
      </c>
      <c r="V76" s="9">
        <v>37619</v>
      </c>
      <c r="W76" s="10" t="str">
        <f t="shared" ca="1" si="8"/>
        <v>23 TAHUN 3 BULAN</v>
      </c>
      <c r="X76" s="4"/>
      <c r="Y76" s="4"/>
      <c r="Z76" s="4"/>
      <c r="AA76" s="38" t="s">
        <v>726</v>
      </c>
      <c r="AB76" s="4" t="s">
        <v>129</v>
      </c>
      <c r="AC76" s="38"/>
      <c r="AD76" s="38"/>
      <c r="AE76" s="56" t="s">
        <v>734</v>
      </c>
      <c r="AF76" s="4"/>
      <c r="AG76" s="4"/>
    </row>
    <row r="77" spans="1:33" x14ac:dyDescent="0.25">
      <c r="A77" s="6">
        <f t="shared" si="5"/>
        <v>75</v>
      </c>
      <c r="B77" s="4" t="s">
        <v>36</v>
      </c>
      <c r="C77" s="4"/>
      <c r="D77" s="40" t="s">
        <v>675</v>
      </c>
      <c r="E77" s="45" t="s">
        <v>253</v>
      </c>
      <c r="F77" s="35" t="s">
        <v>37</v>
      </c>
      <c r="G77" s="6"/>
      <c r="H77" s="14" t="s">
        <v>165</v>
      </c>
      <c r="I77" s="12" t="s">
        <v>730</v>
      </c>
      <c r="J77" s="38" t="s">
        <v>728</v>
      </c>
      <c r="K77" s="38" t="s">
        <v>728</v>
      </c>
      <c r="L77" s="38" t="s">
        <v>729</v>
      </c>
      <c r="M77" s="38" t="s">
        <v>149</v>
      </c>
      <c r="N77" s="38" t="s">
        <v>149</v>
      </c>
      <c r="O77" s="48" t="s">
        <v>150</v>
      </c>
      <c r="P77" s="4" t="s">
        <v>517</v>
      </c>
      <c r="Q77" s="4">
        <v>82336807306</v>
      </c>
      <c r="R77" s="4" t="s">
        <v>23</v>
      </c>
      <c r="S77" s="4"/>
      <c r="T77" s="4"/>
      <c r="U77" s="4" t="s">
        <v>731</v>
      </c>
      <c r="V77" s="9">
        <v>37600</v>
      </c>
      <c r="W77" s="10" t="str">
        <f t="shared" ca="1" si="8"/>
        <v>23 TAHUN 3 BULAN</v>
      </c>
      <c r="X77" s="4"/>
      <c r="Y77" s="4"/>
      <c r="Z77" s="4"/>
      <c r="AA77" s="38" t="s">
        <v>732</v>
      </c>
      <c r="AB77" s="4" t="s">
        <v>129</v>
      </c>
      <c r="AC77" s="38"/>
      <c r="AD77" s="38"/>
      <c r="AE77" s="38" t="s">
        <v>733</v>
      </c>
      <c r="AF77" s="4"/>
      <c r="AG77" s="4"/>
    </row>
    <row r="78" spans="1:33" x14ac:dyDescent="0.25">
      <c r="A78" s="6">
        <f t="shared" si="5"/>
        <v>76</v>
      </c>
      <c r="B78" s="4" t="s">
        <v>36</v>
      </c>
      <c r="C78" s="4"/>
      <c r="D78" s="40" t="s">
        <v>676</v>
      </c>
      <c r="E78" s="45" t="s">
        <v>253</v>
      </c>
      <c r="F78" s="35" t="s">
        <v>37</v>
      </c>
      <c r="G78" s="6"/>
      <c r="H78" s="14" t="s">
        <v>165</v>
      </c>
      <c r="I78" s="12" t="s">
        <v>738</v>
      </c>
      <c r="J78" s="38" t="s">
        <v>735</v>
      </c>
      <c r="K78" s="38" t="s">
        <v>735</v>
      </c>
      <c r="L78" s="38" t="s">
        <v>148</v>
      </c>
      <c r="M78" s="38" t="s">
        <v>286</v>
      </c>
      <c r="N78" s="38" t="s">
        <v>149</v>
      </c>
      <c r="O78" s="48" t="s">
        <v>150</v>
      </c>
      <c r="P78" s="4" t="s">
        <v>517</v>
      </c>
      <c r="Q78" s="4">
        <v>8213286971</v>
      </c>
      <c r="R78" s="4" t="s">
        <v>23</v>
      </c>
      <c r="S78" s="4"/>
      <c r="T78" s="4"/>
      <c r="U78" s="4" t="s">
        <v>286</v>
      </c>
      <c r="V78" s="9">
        <v>38950</v>
      </c>
      <c r="W78" s="10" t="str">
        <f t="shared" ca="1" si="8"/>
        <v>19 TAHUN 7 BULAN</v>
      </c>
      <c r="X78" s="4"/>
      <c r="Y78" s="4"/>
      <c r="Z78" s="4"/>
      <c r="AA78" s="38" t="s">
        <v>736</v>
      </c>
      <c r="AB78" s="4" t="s">
        <v>129</v>
      </c>
      <c r="AC78" s="38"/>
      <c r="AD78" s="38"/>
      <c r="AE78" s="56" t="s">
        <v>737</v>
      </c>
      <c r="AF78" s="4"/>
      <c r="AG78" s="4"/>
    </row>
    <row r="79" spans="1:33" x14ac:dyDescent="0.25">
      <c r="A79" s="6">
        <f t="shared" si="5"/>
        <v>77</v>
      </c>
      <c r="B79" s="4" t="s">
        <v>36</v>
      </c>
      <c r="C79" s="4"/>
      <c r="D79" s="40" t="s">
        <v>677</v>
      </c>
      <c r="E79" s="45" t="s">
        <v>253</v>
      </c>
      <c r="F79" s="35" t="s">
        <v>37</v>
      </c>
      <c r="G79" s="6"/>
      <c r="H79" s="14" t="s">
        <v>165</v>
      </c>
      <c r="I79" s="12" t="s">
        <v>740</v>
      </c>
      <c r="J79" s="38" t="s">
        <v>739</v>
      </c>
      <c r="K79" s="38" t="s">
        <v>739</v>
      </c>
      <c r="L79" s="38" t="s">
        <v>717</v>
      </c>
      <c r="M79" s="38" t="s">
        <v>718</v>
      </c>
      <c r="N79" s="38" t="s">
        <v>149</v>
      </c>
      <c r="O79" s="48" t="s">
        <v>150</v>
      </c>
      <c r="P79" s="4" t="s">
        <v>517</v>
      </c>
      <c r="Q79" s="4">
        <v>82293706525</v>
      </c>
      <c r="R79" s="4" t="s">
        <v>23</v>
      </c>
      <c r="S79" s="4"/>
      <c r="T79" s="4"/>
      <c r="U79" s="4" t="s">
        <v>717</v>
      </c>
      <c r="V79" s="9">
        <v>36213</v>
      </c>
      <c r="W79" s="10" t="str">
        <f t="shared" ca="1" si="8"/>
        <v>27 TAHUN 1 BULAN</v>
      </c>
      <c r="X79" s="4"/>
      <c r="Y79" s="4"/>
      <c r="Z79" s="4"/>
      <c r="AA79" s="38" t="s">
        <v>741</v>
      </c>
      <c r="AB79" s="4" t="s">
        <v>129</v>
      </c>
      <c r="AC79" s="38"/>
      <c r="AD79" s="38"/>
      <c r="AE79" s="56" t="s">
        <v>742</v>
      </c>
      <c r="AF79" s="4"/>
      <c r="AG79" s="4"/>
    </row>
    <row r="80" spans="1:33" x14ac:dyDescent="0.25">
      <c r="A80" s="6">
        <f t="shared" si="5"/>
        <v>78</v>
      </c>
      <c r="B80" s="4" t="s">
        <v>36</v>
      </c>
      <c r="C80" s="4"/>
      <c r="D80" s="40" t="s">
        <v>678</v>
      </c>
      <c r="E80" s="45" t="s">
        <v>253</v>
      </c>
      <c r="F80" s="35" t="s">
        <v>37</v>
      </c>
      <c r="G80" s="6"/>
      <c r="H80" s="14" t="s">
        <v>165</v>
      </c>
      <c r="I80" s="12" t="s">
        <v>744</v>
      </c>
      <c r="J80" s="38" t="s">
        <v>743</v>
      </c>
      <c r="K80" s="38" t="s">
        <v>743</v>
      </c>
      <c r="L80" s="38" t="s">
        <v>713</v>
      </c>
      <c r="M80" s="38" t="s">
        <v>205</v>
      </c>
      <c r="N80" s="38" t="s">
        <v>149</v>
      </c>
      <c r="O80" s="48" t="s">
        <v>150</v>
      </c>
      <c r="P80" s="4" t="s">
        <v>517</v>
      </c>
      <c r="Q80" s="4">
        <v>81237876785</v>
      </c>
      <c r="R80" s="4" t="s">
        <v>23</v>
      </c>
      <c r="S80" s="4"/>
      <c r="T80" s="4"/>
      <c r="U80" s="4" t="s">
        <v>745</v>
      </c>
      <c r="V80" s="9">
        <v>37071</v>
      </c>
      <c r="W80" s="10" t="str">
        <f t="shared" ca="1" si="8"/>
        <v>24 TAHUN 9 BULAN</v>
      </c>
      <c r="X80" s="4"/>
      <c r="Y80" s="4"/>
      <c r="Z80" s="4"/>
      <c r="AA80" s="38" t="s">
        <v>746</v>
      </c>
      <c r="AB80" s="4" t="s">
        <v>129</v>
      </c>
      <c r="AC80" s="38"/>
      <c r="AD80" s="38"/>
      <c r="AE80" s="38" t="s">
        <v>747</v>
      </c>
      <c r="AF80" s="4"/>
      <c r="AG80" s="4"/>
    </row>
    <row r="81" spans="1:33" x14ac:dyDescent="0.25">
      <c r="A81" s="6">
        <f t="shared" si="5"/>
        <v>79</v>
      </c>
      <c r="B81" s="4" t="s">
        <v>36</v>
      </c>
      <c r="C81" s="4"/>
      <c r="D81" s="40" t="s">
        <v>679</v>
      </c>
      <c r="E81" s="45" t="s">
        <v>253</v>
      </c>
      <c r="F81" s="35" t="s">
        <v>37</v>
      </c>
      <c r="G81" s="6"/>
      <c r="H81" s="14" t="s">
        <v>165</v>
      </c>
      <c r="I81" s="12" t="s">
        <v>751</v>
      </c>
      <c r="J81" s="38" t="s">
        <v>698</v>
      </c>
      <c r="K81" s="38" t="s">
        <v>698</v>
      </c>
      <c r="L81" s="38" t="s">
        <v>699</v>
      </c>
      <c r="M81" s="38" t="s">
        <v>292</v>
      </c>
      <c r="N81" s="38" t="s">
        <v>205</v>
      </c>
      <c r="O81" s="48" t="s">
        <v>150</v>
      </c>
      <c r="P81" s="4" t="s">
        <v>517</v>
      </c>
      <c r="Q81" s="4">
        <v>82385418788</v>
      </c>
      <c r="R81" s="4" t="s">
        <v>23</v>
      </c>
      <c r="S81" s="4"/>
      <c r="T81" s="4"/>
      <c r="U81" s="4" t="s">
        <v>748</v>
      </c>
      <c r="V81" s="9">
        <v>36251</v>
      </c>
      <c r="W81" s="10" t="str">
        <f t="shared" ca="1" si="8"/>
        <v>27 TAHUN 0 BULAN</v>
      </c>
      <c r="X81" s="4"/>
      <c r="Y81" s="4"/>
      <c r="Z81" s="4"/>
      <c r="AA81" s="38" t="s">
        <v>749</v>
      </c>
      <c r="AB81" s="4" t="s">
        <v>129</v>
      </c>
      <c r="AC81" s="38"/>
      <c r="AD81" s="38"/>
      <c r="AE81" s="38" t="s">
        <v>750</v>
      </c>
      <c r="AF81" s="4"/>
      <c r="AG81" s="4"/>
    </row>
    <row r="82" spans="1:33" x14ac:dyDescent="0.25">
      <c r="A82" s="6">
        <f t="shared" si="5"/>
        <v>80</v>
      </c>
      <c r="B82" s="4" t="s">
        <v>36</v>
      </c>
      <c r="C82" s="4"/>
      <c r="D82" s="40" t="s">
        <v>680</v>
      </c>
      <c r="E82" s="45" t="s">
        <v>421</v>
      </c>
      <c r="F82" s="35" t="s">
        <v>37</v>
      </c>
      <c r="G82" s="6"/>
      <c r="H82" s="14" t="s">
        <v>165</v>
      </c>
      <c r="I82" s="12" t="s">
        <v>753</v>
      </c>
      <c r="J82" s="38" t="s">
        <v>752</v>
      </c>
      <c r="K82" s="38" t="s">
        <v>752</v>
      </c>
      <c r="L82" s="38" t="s">
        <v>717</v>
      </c>
      <c r="M82" s="38" t="s">
        <v>143</v>
      </c>
      <c r="N82" s="38" t="s">
        <v>149</v>
      </c>
      <c r="O82" s="48" t="s">
        <v>150</v>
      </c>
      <c r="P82" s="4" t="s">
        <v>517</v>
      </c>
      <c r="Q82" s="4">
        <v>85745855075</v>
      </c>
      <c r="R82" s="4" t="s">
        <v>23</v>
      </c>
      <c r="S82" s="4"/>
      <c r="T82" s="4"/>
      <c r="U82" s="4" t="s">
        <v>717</v>
      </c>
      <c r="V82" s="9">
        <v>38698</v>
      </c>
      <c r="W82" s="10" t="str">
        <f t="shared" ca="1" si="8"/>
        <v>20 TAHUN 3 BULAN</v>
      </c>
      <c r="X82" s="4"/>
      <c r="Y82" s="4"/>
      <c r="Z82" s="4"/>
      <c r="AA82" s="38" t="s">
        <v>741</v>
      </c>
      <c r="AB82" s="4" t="s">
        <v>129</v>
      </c>
      <c r="AC82" s="38"/>
      <c r="AD82" s="38"/>
      <c r="AE82" s="38" t="s">
        <v>754</v>
      </c>
      <c r="AF82" s="4"/>
      <c r="AG82" s="4"/>
    </row>
    <row r="83" spans="1:33" x14ac:dyDescent="0.25">
      <c r="A83" s="6">
        <f t="shared" si="5"/>
        <v>81</v>
      </c>
      <c r="B83" s="4" t="s">
        <v>36</v>
      </c>
      <c r="C83" s="4"/>
      <c r="D83" s="40" t="s">
        <v>681</v>
      </c>
      <c r="E83" s="45" t="s">
        <v>421</v>
      </c>
      <c r="F83" s="35" t="s">
        <v>37</v>
      </c>
      <c r="G83" s="6"/>
      <c r="H83" s="14" t="s">
        <v>165</v>
      </c>
      <c r="I83" s="12" t="s">
        <v>758</v>
      </c>
      <c r="J83" s="38" t="s">
        <v>755</v>
      </c>
      <c r="K83" s="38" t="s">
        <v>755</v>
      </c>
      <c r="L83" s="38" t="s">
        <v>699</v>
      </c>
      <c r="M83" s="38" t="s">
        <v>503</v>
      </c>
      <c r="N83" s="38" t="s">
        <v>149</v>
      </c>
      <c r="O83" s="48" t="s">
        <v>150</v>
      </c>
      <c r="P83" s="4" t="s">
        <v>517</v>
      </c>
      <c r="Q83" s="4">
        <v>81257780629</v>
      </c>
      <c r="R83" s="4" t="s">
        <v>23</v>
      </c>
      <c r="S83" s="4"/>
      <c r="T83" s="4"/>
      <c r="U83" s="4" t="s">
        <v>756</v>
      </c>
      <c r="V83" s="9">
        <v>35855</v>
      </c>
      <c r="W83" s="10" t="str">
        <f t="shared" ca="1" si="8"/>
        <v>28 TAHUN 1 BULAN</v>
      </c>
      <c r="X83" s="4"/>
      <c r="Y83" s="4"/>
      <c r="Z83" s="4"/>
      <c r="AA83" s="38" t="s">
        <v>726</v>
      </c>
      <c r="AB83" s="4" t="s">
        <v>129</v>
      </c>
      <c r="AC83" s="38"/>
      <c r="AD83" s="38"/>
      <c r="AE83" s="38" t="s">
        <v>757</v>
      </c>
      <c r="AF83" s="4"/>
      <c r="AG83" s="4"/>
    </row>
    <row r="84" spans="1:33" x14ac:dyDescent="0.25">
      <c r="A84" s="6">
        <f t="shared" ref="A84:A93" si="9">A83+1</f>
        <v>82</v>
      </c>
      <c r="B84" s="4" t="s">
        <v>36</v>
      </c>
      <c r="C84" s="4"/>
      <c r="D84" s="40" t="s">
        <v>682</v>
      </c>
      <c r="E84" s="45" t="s">
        <v>421</v>
      </c>
      <c r="F84" s="35" t="s">
        <v>37</v>
      </c>
      <c r="G84" s="6"/>
      <c r="H84" s="14" t="s">
        <v>165</v>
      </c>
      <c r="I84" s="12" t="s">
        <v>760</v>
      </c>
      <c r="J84" s="38" t="s">
        <v>280</v>
      </c>
      <c r="K84" s="38" t="s">
        <v>280</v>
      </c>
      <c r="L84" s="38" t="s">
        <v>288</v>
      </c>
      <c r="M84" s="38" t="s">
        <v>718</v>
      </c>
      <c r="N84" s="38" t="s">
        <v>205</v>
      </c>
      <c r="O84" s="48" t="s">
        <v>150</v>
      </c>
      <c r="P84" s="4" t="s">
        <v>517</v>
      </c>
      <c r="Q84" s="4">
        <v>82258372347</v>
      </c>
      <c r="R84" s="4" t="s">
        <v>23</v>
      </c>
      <c r="S84" s="4"/>
      <c r="T84" s="4"/>
      <c r="U84" s="4" t="s">
        <v>288</v>
      </c>
      <c r="V84" s="9">
        <v>35678</v>
      </c>
      <c r="W84" s="10" t="str">
        <f t="shared" ca="1" si="8"/>
        <v>28 TAHUN 7 BULAN</v>
      </c>
      <c r="X84" s="4"/>
      <c r="Y84" s="4"/>
      <c r="Z84" s="4"/>
      <c r="AA84" s="38" t="s">
        <v>333</v>
      </c>
      <c r="AB84" s="4" t="s">
        <v>129</v>
      </c>
      <c r="AC84" s="38"/>
      <c r="AD84" s="38"/>
      <c r="AE84" s="38" t="s">
        <v>759</v>
      </c>
      <c r="AF84" s="4"/>
      <c r="AG84" s="4"/>
    </row>
    <row r="85" spans="1:33" x14ac:dyDescent="0.25">
      <c r="A85" s="6">
        <f t="shared" si="9"/>
        <v>83</v>
      </c>
      <c r="B85" s="4" t="s">
        <v>36</v>
      </c>
      <c r="C85" s="4"/>
      <c r="D85" s="40" t="s">
        <v>683</v>
      </c>
      <c r="E85" s="45" t="s">
        <v>421</v>
      </c>
      <c r="F85" s="35" t="s">
        <v>37</v>
      </c>
      <c r="G85" s="6"/>
      <c r="H85" s="14" t="s">
        <v>165</v>
      </c>
      <c r="I85" s="12" t="s">
        <v>768</v>
      </c>
      <c r="J85" s="38" t="s">
        <v>761</v>
      </c>
      <c r="K85" s="38" t="s">
        <v>761</v>
      </c>
      <c r="L85" s="38" t="s">
        <v>762</v>
      </c>
      <c r="M85" s="38" t="s">
        <v>763</v>
      </c>
      <c r="N85" s="38" t="s">
        <v>764</v>
      </c>
      <c r="O85" s="38" t="s">
        <v>151</v>
      </c>
      <c r="P85" s="4" t="s">
        <v>517</v>
      </c>
      <c r="Q85" s="4">
        <v>87745410504</v>
      </c>
      <c r="R85" s="4" t="s">
        <v>23</v>
      </c>
      <c r="S85" s="4"/>
      <c r="T85" s="4"/>
      <c r="U85" s="4" t="s">
        <v>765</v>
      </c>
      <c r="V85" s="9">
        <v>39206</v>
      </c>
      <c r="W85" s="10" t="str">
        <f t="shared" ca="1" si="8"/>
        <v>18 TAHUN 11 BULAN</v>
      </c>
      <c r="X85" s="4"/>
      <c r="Y85" s="4"/>
      <c r="Z85" s="4"/>
      <c r="AA85" s="38" t="s">
        <v>766</v>
      </c>
      <c r="AB85" s="4" t="s">
        <v>129</v>
      </c>
      <c r="AC85" s="38"/>
      <c r="AD85" s="38"/>
      <c r="AE85" s="38" t="s">
        <v>767</v>
      </c>
      <c r="AF85" s="4"/>
      <c r="AG85" s="4"/>
    </row>
    <row r="86" spans="1:33" x14ac:dyDescent="0.25">
      <c r="A86" s="6">
        <f t="shared" si="9"/>
        <v>84</v>
      </c>
      <c r="B86" s="4" t="s">
        <v>36</v>
      </c>
      <c r="C86" s="4"/>
      <c r="D86" s="40" t="s">
        <v>684</v>
      </c>
      <c r="E86" s="45" t="s">
        <v>421</v>
      </c>
      <c r="F86" s="35" t="s">
        <v>37</v>
      </c>
      <c r="G86" s="6"/>
      <c r="H86" s="14" t="s">
        <v>165</v>
      </c>
      <c r="I86" s="12" t="s">
        <v>774</v>
      </c>
      <c r="J86" s="38" t="s">
        <v>769</v>
      </c>
      <c r="K86" s="38" t="s">
        <v>769</v>
      </c>
      <c r="L86" s="38" t="s">
        <v>770</v>
      </c>
      <c r="M86" s="38" t="s">
        <v>718</v>
      </c>
      <c r="N86" s="38" t="s">
        <v>149</v>
      </c>
      <c r="O86" s="48" t="s">
        <v>150</v>
      </c>
      <c r="P86" s="4" t="s">
        <v>517</v>
      </c>
      <c r="Q86" s="4">
        <v>87810224494</v>
      </c>
      <c r="R86" s="4" t="s">
        <v>23</v>
      </c>
      <c r="S86" s="4"/>
      <c r="T86" s="4"/>
      <c r="U86" s="4" t="s">
        <v>771</v>
      </c>
      <c r="V86" s="9">
        <v>38434</v>
      </c>
      <c r="W86" s="10" t="str">
        <f t="shared" ca="1" si="8"/>
        <v>21 TAHUN 0 BULAN</v>
      </c>
      <c r="X86" s="4"/>
      <c r="Y86" s="4"/>
      <c r="Z86" s="4"/>
      <c r="AA86" s="38" t="s">
        <v>772</v>
      </c>
      <c r="AB86" s="4" t="s">
        <v>129</v>
      </c>
      <c r="AC86" s="38"/>
      <c r="AD86" s="38"/>
      <c r="AE86" s="38" t="s">
        <v>773</v>
      </c>
      <c r="AF86" s="4"/>
      <c r="AG86" s="4"/>
    </row>
    <row r="87" spans="1:33" x14ac:dyDescent="0.25">
      <c r="A87" s="6">
        <f t="shared" si="9"/>
        <v>85</v>
      </c>
      <c r="B87" s="4" t="s">
        <v>36</v>
      </c>
      <c r="C87" s="4"/>
      <c r="D87" s="40" t="s">
        <v>685</v>
      </c>
      <c r="E87" s="45" t="s">
        <v>421</v>
      </c>
      <c r="F87" s="35" t="s">
        <v>37</v>
      </c>
      <c r="G87" s="6"/>
      <c r="H87" s="14" t="s">
        <v>165</v>
      </c>
      <c r="I87" s="12" t="s">
        <v>776</v>
      </c>
      <c r="J87" s="38" t="s">
        <v>484</v>
      </c>
      <c r="K87" s="38" t="s">
        <v>484</v>
      </c>
      <c r="L87" s="38" t="s">
        <v>703</v>
      </c>
      <c r="M87" s="38" t="s">
        <v>718</v>
      </c>
      <c r="N87" s="38" t="s">
        <v>149</v>
      </c>
      <c r="O87" s="48" t="s">
        <v>150</v>
      </c>
      <c r="P87" s="4" t="s">
        <v>517</v>
      </c>
      <c r="Q87" s="4">
        <v>82287674511</v>
      </c>
      <c r="R87" s="4" t="s">
        <v>23</v>
      </c>
      <c r="S87" s="4"/>
      <c r="T87" s="4"/>
      <c r="U87" s="4" t="s">
        <v>201</v>
      </c>
      <c r="V87" s="9">
        <v>37206</v>
      </c>
      <c r="W87" s="10" t="str">
        <f t="shared" ca="1" si="8"/>
        <v>24 TAHUN 4 BULAN</v>
      </c>
      <c r="X87" s="4"/>
      <c r="Y87" s="4"/>
      <c r="Z87" s="4"/>
      <c r="AA87" s="38" t="s">
        <v>741</v>
      </c>
      <c r="AB87" s="4" t="s">
        <v>129</v>
      </c>
      <c r="AC87" s="38"/>
      <c r="AD87" s="38"/>
      <c r="AE87" s="56" t="s">
        <v>775</v>
      </c>
      <c r="AF87" s="4"/>
      <c r="AG87" s="4"/>
    </row>
    <row r="88" spans="1:33" x14ac:dyDescent="0.25">
      <c r="A88" s="6">
        <f t="shared" si="9"/>
        <v>86</v>
      </c>
      <c r="B88" s="4" t="s">
        <v>36</v>
      </c>
      <c r="C88" s="4"/>
      <c r="D88" s="40" t="s">
        <v>686</v>
      </c>
      <c r="E88" s="45" t="s">
        <v>421</v>
      </c>
      <c r="F88" s="35" t="s">
        <v>37</v>
      </c>
      <c r="G88" s="6"/>
      <c r="H88" s="14" t="s">
        <v>165</v>
      </c>
      <c r="I88" s="12" t="s">
        <v>780</v>
      </c>
      <c r="J88" s="38" t="s">
        <v>352</v>
      </c>
      <c r="K88" s="38" t="s">
        <v>352</v>
      </c>
      <c r="L88" s="38" t="s">
        <v>488</v>
      </c>
      <c r="M88" s="38" t="s">
        <v>286</v>
      </c>
      <c r="N88" s="38" t="s">
        <v>149</v>
      </c>
      <c r="O88" s="48" t="s">
        <v>150</v>
      </c>
      <c r="P88" s="4" t="s">
        <v>517</v>
      </c>
      <c r="Q88" s="4">
        <v>81952029128</v>
      </c>
      <c r="R88" s="4" t="s">
        <v>23</v>
      </c>
      <c r="S88" s="4"/>
      <c r="T88" s="4"/>
      <c r="U88" s="4" t="s">
        <v>777</v>
      </c>
      <c r="V88" s="9">
        <v>36659</v>
      </c>
      <c r="W88" s="10" t="str">
        <f t="shared" ca="1" si="8"/>
        <v>25 TAHUN 10 BULAN</v>
      </c>
      <c r="X88" s="4"/>
      <c r="Y88" s="4"/>
      <c r="Z88" s="4"/>
      <c r="AA88" s="38" t="s">
        <v>778</v>
      </c>
      <c r="AB88" s="4" t="s">
        <v>129</v>
      </c>
      <c r="AC88" s="38"/>
      <c r="AD88" s="38"/>
      <c r="AE88" s="38" t="s">
        <v>779</v>
      </c>
      <c r="AF88" s="4"/>
      <c r="AG88" s="4"/>
    </row>
    <row r="89" spans="1:33" x14ac:dyDescent="0.25">
      <c r="A89" s="6">
        <f t="shared" si="9"/>
        <v>87</v>
      </c>
      <c r="B89" s="4" t="s">
        <v>36</v>
      </c>
      <c r="C89" s="4"/>
      <c r="D89" s="40" t="s">
        <v>687</v>
      </c>
      <c r="E89" s="45" t="s">
        <v>421</v>
      </c>
      <c r="F89" s="35" t="s">
        <v>37</v>
      </c>
      <c r="G89" s="6"/>
      <c r="H89" s="14" t="s">
        <v>165</v>
      </c>
      <c r="I89" s="12" t="s">
        <v>785</v>
      </c>
      <c r="J89" s="38" t="s">
        <v>781</v>
      </c>
      <c r="K89" s="38" t="s">
        <v>781</v>
      </c>
      <c r="L89" s="38" t="s">
        <v>495</v>
      </c>
      <c r="M89" s="38" t="s">
        <v>286</v>
      </c>
      <c r="N89" s="38" t="s">
        <v>149</v>
      </c>
      <c r="O89" s="48" t="s">
        <v>150</v>
      </c>
      <c r="P89" s="4" t="s">
        <v>517</v>
      </c>
      <c r="Q89" s="4">
        <v>8135625564</v>
      </c>
      <c r="R89" s="4" t="s">
        <v>23</v>
      </c>
      <c r="S89" s="4"/>
      <c r="T89" s="4"/>
      <c r="U89" s="4" t="s">
        <v>782</v>
      </c>
      <c r="V89" s="9">
        <v>37613</v>
      </c>
      <c r="W89" s="10" t="str">
        <f t="shared" ca="1" si="8"/>
        <v>23 TAHUN 3 BULAN</v>
      </c>
      <c r="X89" s="4"/>
      <c r="Y89" s="4"/>
      <c r="Z89" s="4"/>
      <c r="AA89" s="38" t="s">
        <v>783</v>
      </c>
      <c r="AB89" s="4" t="s">
        <v>129</v>
      </c>
      <c r="AC89" s="38"/>
      <c r="AD89" s="38"/>
      <c r="AE89" s="38" t="s">
        <v>784</v>
      </c>
      <c r="AF89" s="4"/>
      <c r="AG89" s="4"/>
    </row>
    <row r="90" spans="1:33" x14ac:dyDescent="0.25">
      <c r="A90" s="6">
        <f t="shared" si="9"/>
        <v>88</v>
      </c>
      <c r="B90" s="4" t="s">
        <v>36</v>
      </c>
      <c r="C90" s="4"/>
      <c r="D90" s="40" t="s">
        <v>688</v>
      </c>
      <c r="E90" s="45" t="s">
        <v>421</v>
      </c>
      <c r="F90" s="35" t="s">
        <v>37</v>
      </c>
      <c r="G90" s="6"/>
      <c r="H90" s="14" t="s">
        <v>165</v>
      </c>
      <c r="I90" s="12" t="s">
        <v>790</v>
      </c>
      <c r="J90" s="38" t="s">
        <v>724</v>
      </c>
      <c r="K90" s="38" t="s">
        <v>724</v>
      </c>
      <c r="L90" s="38" t="s">
        <v>786</v>
      </c>
      <c r="M90" s="38" t="s">
        <v>205</v>
      </c>
      <c r="N90" s="38" t="s">
        <v>149</v>
      </c>
      <c r="O90" s="48" t="s">
        <v>150</v>
      </c>
      <c r="P90" s="4" t="s">
        <v>517</v>
      </c>
      <c r="Q90" s="4">
        <v>85242487649</v>
      </c>
      <c r="R90" s="4" t="s">
        <v>23</v>
      </c>
      <c r="S90" s="4"/>
      <c r="T90" s="4"/>
      <c r="U90" s="4" t="s">
        <v>787</v>
      </c>
      <c r="V90" s="9">
        <v>37272</v>
      </c>
      <c r="W90" s="10" t="str">
        <f t="shared" ca="1" si="8"/>
        <v>24 TAHUN 2 BULAN</v>
      </c>
      <c r="X90" s="4"/>
      <c r="Y90" s="4"/>
      <c r="Z90" s="4"/>
      <c r="AA90" s="38" t="s">
        <v>788</v>
      </c>
      <c r="AB90" s="4" t="s">
        <v>129</v>
      </c>
      <c r="AC90" s="38"/>
      <c r="AD90" s="38"/>
      <c r="AE90" s="38" t="s">
        <v>789</v>
      </c>
      <c r="AF90" s="4"/>
      <c r="AG90" s="4"/>
    </row>
    <row r="91" spans="1:33" x14ac:dyDescent="0.25">
      <c r="A91" s="6">
        <f t="shared" si="9"/>
        <v>89</v>
      </c>
      <c r="B91" s="4" t="s">
        <v>36</v>
      </c>
      <c r="C91" s="4"/>
      <c r="D91" s="40" t="s">
        <v>689</v>
      </c>
      <c r="E91" s="45" t="s">
        <v>421</v>
      </c>
      <c r="F91" s="35" t="s">
        <v>37</v>
      </c>
      <c r="G91" s="6"/>
      <c r="H91" s="14" t="s">
        <v>165</v>
      </c>
      <c r="I91" s="33" t="s">
        <v>792</v>
      </c>
      <c r="J91" s="38" t="s">
        <v>791</v>
      </c>
      <c r="K91" s="38" t="s">
        <v>791</v>
      </c>
      <c r="L91" s="38" t="s">
        <v>713</v>
      </c>
      <c r="M91" s="38" t="s">
        <v>205</v>
      </c>
      <c r="N91" s="38" t="s">
        <v>149</v>
      </c>
      <c r="O91" s="48" t="s">
        <v>150</v>
      </c>
      <c r="P91" s="4" t="s">
        <v>517</v>
      </c>
      <c r="Q91" s="4"/>
      <c r="R91" s="4"/>
      <c r="S91" s="4"/>
      <c r="T91" s="4"/>
      <c r="U91" s="4"/>
      <c r="V91" s="4"/>
      <c r="W91" s="10" t="str">
        <f t="shared" ca="1" si="8"/>
        <v>126 TAHUN 3 BULAN</v>
      </c>
      <c r="X91" s="4"/>
      <c r="Y91" s="4"/>
      <c r="Z91" s="4"/>
      <c r="AA91" s="38"/>
      <c r="AB91" s="4" t="s">
        <v>129</v>
      </c>
      <c r="AC91" s="38"/>
      <c r="AD91" s="38"/>
      <c r="AE91" s="38"/>
      <c r="AF91" s="4"/>
      <c r="AG91" s="4"/>
    </row>
    <row r="92" spans="1:33" x14ac:dyDescent="0.25">
      <c r="A92" s="6">
        <f t="shared" si="9"/>
        <v>90</v>
      </c>
      <c r="B92" s="4" t="s">
        <v>36</v>
      </c>
      <c r="C92" s="4"/>
      <c r="D92" s="40" t="s">
        <v>690</v>
      </c>
      <c r="E92" s="45" t="s">
        <v>421</v>
      </c>
      <c r="F92" s="35" t="s">
        <v>37</v>
      </c>
      <c r="G92" s="6"/>
      <c r="H92" s="14" t="s">
        <v>165</v>
      </c>
      <c r="I92" s="12" t="s">
        <v>795</v>
      </c>
      <c r="J92" s="38" t="s">
        <v>755</v>
      </c>
      <c r="K92" s="38" t="s">
        <v>755</v>
      </c>
      <c r="L92" s="38" t="s">
        <v>495</v>
      </c>
      <c r="M92" s="38" t="s">
        <v>286</v>
      </c>
      <c r="N92" s="38" t="s">
        <v>205</v>
      </c>
      <c r="O92" s="48" t="s">
        <v>150</v>
      </c>
      <c r="P92" s="4" t="s">
        <v>517</v>
      </c>
      <c r="Q92" s="4">
        <v>85355812730</v>
      </c>
      <c r="R92" s="4" t="s">
        <v>23</v>
      </c>
      <c r="S92" s="4"/>
      <c r="T92" s="4"/>
      <c r="U92" s="4" t="s">
        <v>704</v>
      </c>
      <c r="V92" s="9">
        <v>37396</v>
      </c>
      <c r="W92" s="10" t="str">
        <f t="shared" ca="1" si="8"/>
        <v>23 TAHUN 10 BULAN</v>
      </c>
      <c r="X92" s="4"/>
      <c r="Y92" s="4"/>
      <c r="Z92" s="4"/>
      <c r="AA92" s="38" t="s">
        <v>793</v>
      </c>
      <c r="AB92" s="4" t="s">
        <v>129</v>
      </c>
      <c r="AC92" s="38"/>
      <c r="AD92" s="38"/>
      <c r="AE92" s="38" t="s">
        <v>794</v>
      </c>
      <c r="AF92" s="4"/>
      <c r="AG92" s="4"/>
    </row>
    <row r="93" spans="1:33" x14ac:dyDescent="0.25">
      <c r="A93" s="6">
        <f t="shared" si="9"/>
        <v>91</v>
      </c>
      <c r="B93" s="4" t="s">
        <v>36</v>
      </c>
      <c r="C93" s="4"/>
      <c r="D93" s="40" t="s">
        <v>691</v>
      </c>
      <c r="E93" s="45" t="s">
        <v>421</v>
      </c>
      <c r="F93" s="35" t="s">
        <v>37</v>
      </c>
      <c r="G93" s="6"/>
      <c r="H93" s="14" t="s">
        <v>165</v>
      </c>
      <c r="I93" s="12" t="s">
        <v>796</v>
      </c>
      <c r="J93" s="38" t="s">
        <v>484</v>
      </c>
      <c r="K93" s="38" t="s">
        <v>484</v>
      </c>
      <c r="L93" s="38" t="s">
        <v>282</v>
      </c>
      <c r="M93" s="38" t="s">
        <v>292</v>
      </c>
      <c r="N93" s="38" t="s">
        <v>205</v>
      </c>
      <c r="O93" s="48" t="s">
        <v>150</v>
      </c>
      <c r="P93" s="4" t="s">
        <v>517</v>
      </c>
      <c r="Q93" s="4">
        <v>81240158520</v>
      </c>
      <c r="R93" s="4" t="s">
        <v>23</v>
      </c>
      <c r="S93" s="4"/>
      <c r="T93" s="4"/>
      <c r="U93" s="4" t="s">
        <v>797</v>
      </c>
      <c r="V93" s="9">
        <v>38146</v>
      </c>
      <c r="W93" s="10" t="str">
        <f t="shared" ca="1" si="8"/>
        <v>21 TAHUN 10 BULAN</v>
      </c>
      <c r="X93" s="4"/>
      <c r="Y93" s="4"/>
      <c r="Z93" s="4"/>
      <c r="AA93" s="38" t="s">
        <v>783</v>
      </c>
      <c r="AB93" s="4" t="s">
        <v>129</v>
      </c>
      <c r="AC93" s="38"/>
      <c r="AD93" s="38"/>
      <c r="AE93" s="38" t="s">
        <v>798</v>
      </c>
      <c r="AF93" s="4"/>
      <c r="AG93" s="4"/>
    </row>
  </sheetData>
  <autoFilter ref="A2:AG93" xr:uid="{5EDB33DA-80B3-4680-9F77-871FBB47E6D3}"/>
  <phoneticPr fontId="14" type="noConversion"/>
  <dataValidations count="5">
    <dataValidation type="list" allowBlank="1" showInputMessage="1" showErrorMessage="1" sqref="T3:T5" xr:uid="{AE71198B-60CB-4AFB-8A16-FA923649D51A}">
      <formula1>"ISLAM,KRISTEN,KATOLIK,HINDU,BUDHA"</formula1>
    </dataValidation>
    <dataValidation type="list" allowBlank="1" showInputMessage="1" showErrorMessage="1" sqref="H3:H93" xr:uid="{C6C8E220-0C30-42D9-9EBF-216770AA85FE}">
      <formula1>"PKWT 1,PKWT 2,PKWT 3,PKWT 4,PKWT 5"</formula1>
    </dataValidation>
    <dataValidation type="list" allowBlank="1" showInputMessage="1" showErrorMessage="1" sqref="R3:R20 R70" xr:uid="{6B8B411E-9440-4E3F-A26F-7E65DEC4226B}">
      <formula1>"LAKI-LAKI,PEREMPUAN"</formula1>
    </dataValidation>
    <dataValidation type="list" allowBlank="1" showInputMessage="1" showErrorMessage="1" sqref="P3:P35 P70" xr:uid="{3EDFDF1D-3D14-4CED-9AFE-4FAC13682864}">
      <formula1>"LOKAL,NON LOKAL"</formula1>
    </dataValidation>
    <dataValidation allowBlank="1" showDropDown="1" sqref="I70 I91" xr:uid="{898EB12B-B198-4EA0-A5FB-E3A5C393082D}"/>
  </dataValidations>
  <hyperlinks>
    <hyperlink ref="AE4" r:id="rId1" xr:uid="{C8F6838A-2FAF-4ECE-99B7-87E56FA162A4}"/>
    <hyperlink ref="AE3" r:id="rId2" xr:uid="{9DEF46E1-EC70-4399-9DDC-0B29D5CA1ACC}"/>
    <hyperlink ref="AE16" r:id="rId3" xr:uid="{648FF8EB-7D78-4A7F-B12C-4508D337146B}"/>
    <hyperlink ref="AE32" r:id="rId4" xr:uid="{F36F5F0A-5EA3-4EAF-8859-047E0E50C193}"/>
    <hyperlink ref="AE19" r:id="rId5" xr:uid="{F8A45B22-ACE8-4DFB-81AE-5898305F1736}"/>
    <hyperlink ref="AE23" r:id="rId6" xr:uid="{5DA5ACA5-705B-49DA-8FEF-1046B63A94C6}"/>
    <hyperlink ref="AE36" r:id="rId7" xr:uid="{EEE5E5E1-2975-4070-8C8F-11353E469E70}"/>
    <hyperlink ref="AE43" r:id="rId8" xr:uid="{A46E7084-1D40-47F6-BC37-8636A48481F9}"/>
    <hyperlink ref="AE44" r:id="rId9" xr:uid="{615576B8-D111-4B79-A237-67DE9791D784}"/>
    <hyperlink ref="AE46" r:id="rId10" xr:uid="{9037776D-75BF-4858-9AB1-AB0328AE33D4}"/>
    <hyperlink ref="AE49" r:id="rId11" xr:uid="{2B1D0C0C-D41A-4148-B6B3-FBE57613475C}"/>
    <hyperlink ref="AE50" r:id="rId12" xr:uid="{4AE7C958-41D7-4656-88B0-DA8CA4BE5A7B}"/>
    <hyperlink ref="AE54" r:id="rId13" xr:uid="{B62DE6F2-47BF-4E12-ABC9-00093791F937}"/>
    <hyperlink ref="AE56" r:id="rId14" xr:uid="{4FCC7829-7A2E-4F36-946C-7271B966BEA5}"/>
    <hyperlink ref="AE57" r:id="rId15" xr:uid="{7495B96A-85F1-4B3A-9A76-27418ADC55E9}"/>
    <hyperlink ref="AE58" r:id="rId16" xr:uid="{C198F4A5-C55F-49A6-A86B-B1B90CAC5925}"/>
    <hyperlink ref="AE60" r:id="rId17" xr:uid="{09AAB812-A437-48F7-BCF8-2AF7179D54ED}"/>
    <hyperlink ref="AE61" r:id="rId18" xr:uid="{449ED223-84D2-4E0B-8707-790D9FA0B63C}"/>
    <hyperlink ref="AE62" r:id="rId19" xr:uid="{275338FE-B89B-4C22-B788-1002018F3D12}"/>
    <hyperlink ref="AE64" r:id="rId20" xr:uid="{40554F75-2923-455B-9B69-B483E5C7B15C}"/>
    <hyperlink ref="AE65" r:id="rId21" xr:uid="{B8641B13-5560-407F-B15E-5146E52A20CF}"/>
    <hyperlink ref="AE66" r:id="rId22" xr:uid="{65B0E0AE-D9D4-481E-B7E2-6DB33CA34D05}"/>
    <hyperlink ref="AE67" r:id="rId23" xr:uid="{B907DBE9-1329-40AB-81D8-CC4365B0FAC9}"/>
    <hyperlink ref="AE70" r:id="rId24" xr:uid="{B5240610-840E-4303-9DF3-5396FF053582}"/>
    <hyperlink ref="AE75" r:id="rId25" xr:uid="{DBA2E72F-09C6-418E-A06D-0DBAA7B3F8A6}"/>
    <hyperlink ref="AE76" r:id="rId26" xr:uid="{7043B78F-645A-48A4-9894-3540C3F150E4}"/>
    <hyperlink ref="AE78" r:id="rId27" xr:uid="{3889D3B8-AAB2-42FC-855D-C0CA35FAB9C5}"/>
    <hyperlink ref="AE79" r:id="rId28" xr:uid="{ABE0C133-50A1-4A71-A268-2E5D884B7EDF}"/>
    <hyperlink ref="AE87" r:id="rId29" xr:uid="{26E61D76-B60E-4E1E-81B5-74007CCE6080}"/>
  </hyperlinks>
  <pageMargins left="0.7" right="0.7" top="0.75" bottom="0.75" header="0.3" footer="0.3"/>
  <pageSetup orientation="portrait" horizontalDpi="360" verticalDpi="360" r:id="rId30"/>
  <headerFooter>
    <oddFooter>&amp;L_x000D_&amp;1#&amp;"Calibri"&amp;14&amp;K000000 PUBLIC</oddFooter>
  </headerFooter>
  <drawing r:id="rId31"/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MANPOWER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Alif Ramadhan</dc:creator>
  <cp:lastModifiedBy>Rusdin Sjs</cp:lastModifiedBy>
  <dcterms:created xsi:type="dcterms:W3CDTF">2025-07-31T00:11:21Z</dcterms:created>
  <dcterms:modified xsi:type="dcterms:W3CDTF">2026-04-09T08:33:48Z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d6a299-0ea0-40c6-b8ac-ad413ee4bb24_Enabled">
    <vt:lpwstr>true</vt:lpwstr>
  </property>
  <property fmtid="{D5CDD505-2E9C-101B-9397-08002B2CF9AE}" pid="3" name="MSIP_Label_07d6a299-0ea0-40c6-b8ac-ad413ee4bb24_SetDate">
    <vt:lpwstr>2025-07-31T01:02:44Z</vt:lpwstr>
  </property>
  <property fmtid="{D5CDD505-2E9C-101B-9397-08002B2CF9AE}" pid="4" name="MSIP_Label_07d6a299-0ea0-40c6-b8ac-ad413ee4bb24_Method">
    <vt:lpwstr>Privileged</vt:lpwstr>
  </property>
  <property fmtid="{D5CDD505-2E9C-101B-9397-08002B2CF9AE}" pid="5" name="MSIP_Label_07d6a299-0ea0-40c6-b8ac-ad413ee4bb24_Name">
    <vt:lpwstr>PUBLIC</vt:lpwstr>
  </property>
  <property fmtid="{D5CDD505-2E9C-101B-9397-08002B2CF9AE}" pid="6" name="MSIP_Label_07d6a299-0ea0-40c6-b8ac-ad413ee4bb24_SiteId">
    <vt:lpwstr>6b3257a3-11ab-43a7-8708-fb17f85c0c4d</vt:lpwstr>
  </property>
  <property fmtid="{D5CDD505-2E9C-101B-9397-08002B2CF9AE}" pid="7" name="MSIP_Label_07d6a299-0ea0-40c6-b8ac-ad413ee4bb24_ActionId">
    <vt:lpwstr>5768df93-975f-45fd-9aa0-fefaf3e0c557</vt:lpwstr>
  </property>
  <property fmtid="{D5CDD505-2E9C-101B-9397-08002B2CF9AE}" pid="8" name="MSIP_Label_07d6a299-0ea0-40c6-b8ac-ad413ee4bb24_ContentBits">
    <vt:lpwstr>2</vt:lpwstr>
  </property>
  <property fmtid="{D5CDD505-2E9C-101B-9397-08002B2CF9AE}" pid="9" name="MSIP_Label_07d6a299-0ea0-40c6-b8ac-ad413ee4bb24_Tag">
    <vt:lpwstr>10, 0, 1, 1</vt:lpwstr>
  </property>
</Properties>
</file>